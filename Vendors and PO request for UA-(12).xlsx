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Users\jaytanik\Documents\Feature_1\"/>
    </mc:Choice>
  </mc:AlternateContent>
  <xr:revisionPtr revIDLastSave="0" documentId="13_ncr:1_{55B036DE-B5F3-460B-B72A-549470CC616C}" xr6:coauthVersionLast="47" xr6:coauthVersionMax="47" xr10:uidLastSave="{00000000-0000-0000-0000-000000000000}"/>
  <bookViews>
    <workbookView xWindow="-120" yWindow="-120" windowWidth="26160" windowHeight="16260" firstSheet="1" activeTab="1" xr2:uid="{FC543CBE-BC58-4EE9-8864-E899E3D3A7BD}"/>
  </bookViews>
  <sheets>
    <sheet name="Vendors request" sheetId="1" r:id="rId1"/>
    <sheet name="PO request" sheetId="4" r:id="rId2"/>
    <sheet name="Sheet1" sheetId="5" r:id="rId3"/>
  </sheets>
  <definedNames>
    <definedName name="_xlnm._FilterDatabase" localSheetId="1" hidden="1">'PO request'!$A$1:$V$34</definedName>
    <definedName name="_xlnm._FilterDatabase" localSheetId="0" hidden="1">'Vendors request'!$A$1:$M$29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1" i="4" l="1"/>
  <c r="L2" i="1"/>
  <c r="B2" i="5" l="1"/>
  <c r="C2" i="5" s="1"/>
  <c r="L29" i="1" l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1" i="1" l="1"/>
</calcChain>
</file>

<file path=xl/sharedStrings.xml><?xml version="1.0" encoding="utf-8"?>
<sst xmlns="http://schemas.openxmlformats.org/spreadsheetml/2006/main" count="1100" uniqueCount="441">
  <si>
    <t>VENDOR_NAME</t>
  </si>
  <si>
    <t>SUPPLIER_NUM</t>
  </si>
  <si>
    <t>VENDOR_SITE_CODE</t>
  </si>
  <si>
    <t>VENDOR_CNPJ</t>
  </si>
  <si>
    <t>FINT SUPPLIER NUMBER</t>
  </si>
  <si>
    <t>SITE NAME</t>
  </si>
  <si>
    <t>VENDOR_CITY</t>
  </si>
  <si>
    <t>System Onboarding</t>
  </si>
  <si>
    <t>Contributor Type*</t>
  </si>
  <si>
    <t>Entity</t>
  </si>
  <si>
    <t>Link</t>
  </si>
  <si>
    <t>Readiness?</t>
  </si>
  <si>
    <t>M S FERREIRA COM DE BRINDES LTDA(YGZVI)</t>
  </si>
  <si>
    <t>GOODS</t>
  </si>
  <si>
    <t>05080498/0001-63</t>
  </si>
  <si>
    <t>BR_4RBRL14</t>
  </si>
  <si>
    <t>SAO PAULO-SP</t>
  </si>
  <si>
    <t>Payee Central</t>
  </si>
  <si>
    <t>COM IND SIMP NACIONAL</t>
  </si>
  <si>
    <t>4R</t>
  </si>
  <si>
    <t>https://sscentral-na.integ.amazon.com/payeemanagement/payeedetails?payeeId=93437540019</t>
  </si>
  <si>
    <t>Ready</t>
  </si>
  <si>
    <t>CARTONALE INDÃšSTRIA E BENEFICIAMENTO DE MATERIAIS PLÃSTICOS:AMAZON LOGISTICS:GOODS(THH24)</t>
  </si>
  <si>
    <t>BR_MNBRL00</t>
  </si>
  <si>
    <t>04051261/0001-91</t>
  </si>
  <si>
    <t>CAJAMAR-SP</t>
  </si>
  <si>
    <t>EQUIPARADO INDUSTRIAL</t>
  </si>
  <si>
    <t>MN</t>
  </si>
  <si>
    <t>https://sscentral-na.integ.amazon.com/payeemanagement/payeedetails?payeeId=93443153229</t>
  </si>
  <si>
    <t>Now ready</t>
  </si>
  <si>
    <t>LUFT SOLUTIONS LOGISTICA LTDA.:CORPORATE AP:GOODS(LKXHO)</t>
  </si>
  <si>
    <t>BR_4RBRL01</t>
  </si>
  <si>
    <t>06288375/0016-61</t>
  </si>
  <si>
    <t>BR_4RBRL00</t>
  </si>
  <si>
    <t>BR_4RBRL03</t>
  </si>
  <si>
    <t>06288375/0023-90</t>
  </si>
  <si>
    <t>DIMENSIONAL CENTELHA SOLUCOES SERRA:AMAZON LOGISTICS:GOODS(N2REF)</t>
  </si>
  <si>
    <t>BR_MNBRL02</t>
  </si>
  <si>
    <t>06913480/0015-63</t>
  </si>
  <si>
    <t>BR_MNBRL01</t>
  </si>
  <si>
    <t>LIMEIRA-SP</t>
  </si>
  <si>
    <t>WORLD POST:CORPORATE AP:GOODS(CGP44)</t>
  </si>
  <si>
    <t>67509729/0001-69</t>
  </si>
  <si>
    <t>BR_4RBRL02</t>
  </si>
  <si>
    <t>BARUERI-SP</t>
  </si>
  <si>
    <t>KUEHNE + NAGEL SERVIÃ‡OS LOGÃSTICOS LTDA:CORPORATE AP:SERVICES(RNOMB)</t>
  </si>
  <si>
    <t>02886427/0001-64</t>
  </si>
  <si>
    <t>SERV PJ CESS MO INSS 11%</t>
  </si>
  <si>
    <t>ID DO BRASIL LOGISTICA LTDA:CORPORATE AP:SERVICES(RY9X5)</t>
  </si>
  <si>
    <t>04416849/0001-00</t>
  </si>
  <si>
    <t>BR_4RBRL04</t>
  </si>
  <si>
    <t>G4S ENGENHARIA E SISTEMAS LTDA.:A100 ROW:SERVICES(8DKHH)</t>
  </si>
  <si>
    <t>BR_5BBRL00</t>
  </si>
  <si>
    <t>04562412/0001-76</t>
  </si>
  <si>
    <t>GUARULHOS-SP</t>
  </si>
  <si>
    <t>5B</t>
  </si>
  <si>
    <t>https://sscentral-na.integ.amazon.com/payeemanagement/payeedetails?payeeId=93404778689</t>
  </si>
  <si>
    <t>LUFT SOLUTIONS LOGISTICA LTDA:CORPORATE AP:SERVICES(C1G7S)</t>
  </si>
  <si>
    <t>06288375/0025-52</t>
  </si>
  <si>
    <t>BR_4RBRL05</t>
  </si>
  <si>
    <t>CABO DE SANTO AGOSTINHO-PE</t>
  </si>
  <si>
    <t>ARCADIS LOGOS S.A.:CORPORATE AP:SERVICES(RHIUI)</t>
  </si>
  <si>
    <t>07939296/0001-50</t>
  </si>
  <si>
    <t>BR_5BBRL01</t>
  </si>
  <si>
    <t>ASCENTY DATA CENTERS E TELECOMUNICACOES S A:A100 ROW:SERVICES(HNYT5)</t>
  </si>
  <si>
    <t>13743550/0007-38</t>
  </si>
  <si>
    <t>BR_5BBRL03</t>
  </si>
  <si>
    <t>OSASCO-SP</t>
  </si>
  <si>
    <t>DEPCLEAN SERVICOS DE DESENTUPIMENTO - EIRELI:CORPORATE AP:SERVICES(SZ6LO)</t>
  </si>
  <si>
    <t>21602658/0001-43</t>
  </si>
  <si>
    <t>BR_4RBRL06</t>
  </si>
  <si>
    <t>CANOAS-RS</t>
  </si>
  <si>
    <t>SEGURPRO VIGILANCIA PATRIMONIAL S.A.:A100 ROW:SERVICES(NN0WO)</t>
  </si>
  <si>
    <t>25278459/0002-63</t>
  </si>
  <si>
    <t>BR_5BBRL04</t>
  </si>
  <si>
    <t>WORKLIN:CORPORATE AP:SERVICES(S1E46)</t>
  </si>
  <si>
    <t>30472982/0001-85</t>
  </si>
  <si>
    <t>BR_4RBRL07</t>
  </si>
  <si>
    <t>MANSERVI RIO MANUTENCAO INDUSTRIAL E SERVICOS LTDA:CORPORATE AP:SERVICES(RIHQ8)</t>
  </si>
  <si>
    <t>35062313/0001-59</t>
  </si>
  <si>
    <t>BR_4RBRL08</t>
  </si>
  <si>
    <t>RIO DE JANEIRO-RJ</t>
  </si>
  <si>
    <t>CRIVELLARO   FILHOS LTDA:CORPORATE AP:SERVICES(JMMYW)</t>
  </si>
  <si>
    <t>51284743/0002-52</t>
  </si>
  <si>
    <t>BR_4RBRL09</t>
  </si>
  <si>
    <t>VALINHOS-SP</t>
  </si>
  <si>
    <t>VERZANI   SANDRINI SEGURANÃ‡A PATRIMONIAL:AMAZON LOGISTICS:SERVICES(4844T)</t>
  </si>
  <si>
    <t>BR_MNBRL03</t>
  </si>
  <si>
    <t>57559387/0001-38</t>
  </si>
  <si>
    <t>SANTO ANDRE-SP</t>
  </si>
  <si>
    <t>BERTOLINI SITEMAS DE ARMAZENAGEM:CORPORATE AP:SERVICES(QX3I7)</t>
  </si>
  <si>
    <t>87556650/0016-82</t>
  </si>
  <si>
    <t>BR_4RBRL10</t>
  </si>
  <si>
    <t>COLATINA-ES</t>
  </si>
  <si>
    <t>SCHENKER INC BRAZIL LAST MILE NEW:A100 ROW:SERVICES(9X665)</t>
  </si>
  <si>
    <t>43823079/0007-59</t>
  </si>
  <si>
    <t>BR_5BBRL05</t>
  </si>
  <si>
    <t>SERV PJ PROF IR 1.5%</t>
  </si>
  <si>
    <t>SCHENKER INC BRAZIL BROKE IMPORT:A100 ROW:SERVICES(8P9UO)</t>
  </si>
  <si>
    <t>43823079/0019-92</t>
  </si>
  <si>
    <t>BR_5BBRL06</t>
  </si>
  <si>
    <t>MICROSOFT DO BRASIL IMPORTAÃ‡ÃƒO E COMÃ‰RCIO DE SOFTWARE E VÃDEO GAMES LTDA:CORPORATE AP:SERVICES(NDAAV)</t>
  </si>
  <si>
    <t>04712500/0001-07</t>
  </si>
  <si>
    <t>BR_4RBRL11</t>
  </si>
  <si>
    <t>SERV PJ SEM RETENCAO</t>
  </si>
  <si>
    <t>SOLUTI SOLUCOES EM NEGOCIOS INTELIGENTES:KUIPER:SERVICES(IV1DB)</t>
  </si>
  <si>
    <t>B903BRL00</t>
  </si>
  <si>
    <t>09461647/0001-95</t>
  </si>
  <si>
    <t>GOIANIA-GO</t>
  </si>
  <si>
    <t>B903</t>
  </si>
  <si>
    <t>https://sscentral-na.integ.amazon.com/payeemanagement/payeedetails?payeeId=93443161559</t>
  </si>
  <si>
    <t>BRASIL FIRE TREINAMENTOS EPP:A100 ROW:SERVICES(KPJ28)</t>
  </si>
  <si>
    <t>11164650/0001-99</t>
  </si>
  <si>
    <t>BR_5BBRL07</t>
  </si>
  <si>
    <t>PAULINIA-SP</t>
  </si>
  <si>
    <t>L DE LIMA ASSESSORIA TECNICA AMBIENTAL:CORPORATE AP:SERVICES(L807F)</t>
  </si>
  <si>
    <t>22265407/0001-83</t>
  </si>
  <si>
    <t>SAO JOSE DOS PINHAIS-PR</t>
  </si>
  <si>
    <t>LOTEC SERVIÃ‡OS E FABRICAÃ‡Ã•ES:CORPORATE AP:SERVICES(IYQ6B)</t>
  </si>
  <si>
    <t>33992396/0001-50</t>
  </si>
  <si>
    <t>BR_4RBRL12</t>
  </si>
  <si>
    <t>BETIM-MG</t>
  </si>
  <si>
    <t>MX LOG:AMAZON LOGISTICS:FREIGHT(QIUCU)</t>
  </si>
  <si>
    <t>08541459/0001-04</t>
  </si>
  <si>
    <t>BR_MNBRL04</t>
  </si>
  <si>
    <t>TRANSPORTADORA PJ</t>
  </si>
  <si>
    <t>SCHENKER LOCAL CARRIER (MIDDLE MILE TRANSPORTATION) - ASV:CORPORATE AP:FREIGHT(3KPQS)</t>
  </si>
  <si>
    <t>BR_4RBRL13</t>
  </si>
  <si>
    <t>FINT SUPPLIER #</t>
  </si>
  <si>
    <t>ORG_CODE</t>
  </si>
  <si>
    <t>Parent Location</t>
  </si>
  <si>
    <t>Amazon's CNPJ/Tax ID</t>
  </si>
  <si>
    <t>Company Code</t>
  </si>
  <si>
    <t>Location</t>
  </si>
  <si>
    <t>Cost Center</t>
  </si>
  <si>
    <t>Account</t>
  </si>
  <si>
    <t>Description</t>
  </si>
  <si>
    <t>Matching Type</t>
  </si>
  <si>
    <t>Item category</t>
  </si>
  <si>
    <t>Currency</t>
  </si>
  <si>
    <t>Price</t>
  </si>
  <si>
    <t>Quantity</t>
  </si>
  <si>
    <t>Amount</t>
  </si>
  <si>
    <t>SUPPLIER_NUM-VENDOR_SITE_CODE</t>
  </si>
  <si>
    <t>Production PO</t>
  </si>
  <si>
    <t>Priority</t>
  </si>
  <si>
    <t>Column4</t>
  </si>
  <si>
    <t>New PO Link</t>
  </si>
  <si>
    <t>Column1</t>
  </si>
  <si>
    <t>Column2</t>
  </si>
  <si>
    <t>Column3</t>
  </si>
  <si>
    <t>New PO #</t>
  </si>
  <si>
    <t>Comment</t>
  </si>
  <si>
    <t>BH2</t>
  </si>
  <si>
    <t>3B87</t>
  </si>
  <si>
    <t>15436940000952</t>
  </si>
  <si>
    <t>1290</t>
  </si>
  <si>
    <t>64151</t>
  </si>
  <si>
    <t>Descaracterização de resíduos - Q4 2024</t>
  </si>
  <si>
    <t>2-way match</t>
  </si>
  <si>
    <t>EXPENSES</t>
  </si>
  <si>
    <t>BRL</t>
  </si>
  <si>
    <t>29579262-BR_4RBRL00-51284743/0002-52</t>
  </si>
  <si>
    <t>4R-15207153</t>
  </si>
  <si>
    <t>1</t>
  </si>
  <si>
    <t>51284743/0002-52-BR_4RBRL09-3B87-Descaracterização de resíduos - Q4 2024</t>
  </si>
  <si>
    <t>https://amazon-test.coupahost.com/order_headers/12128580</t>
  </si>
  <si>
    <t>IRRF</t>
  </si>
  <si>
    <t>Manual</t>
  </si>
  <si>
    <t>4R-12128580</t>
  </si>
  <si>
    <t>PA3</t>
  </si>
  <si>
    <t>3B88</t>
  </si>
  <si>
    <t>15436940001177</t>
  </si>
  <si>
    <t>1711</t>
  </si>
  <si>
    <t>64150</t>
  </si>
  <si>
    <t>FREE FORM</t>
  </si>
  <si>
    <t>3-way match</t>
  </si>
  <si>
    <t>49851224-BR_4RBRL00-21602658/0001-43</t>
  </si>
  <si>
    <t>4R-16128381</t>
  </si>
  <si>
    <t>21602658/0001-43-BR_4RBRL06-3B88-FREE FORM</t>
  </si>
  <si>
    <t>https://amazon-test.coupahost.com/order_headers/12128581</t>
  </si>
  <si>
    <t>INSS-ISS</t>
  </si>
  <si>
    <t>4R-12128581</t>
  </si>
  <si>
    <t>RJ5</t>
  </si>
  <si>
    <t>1I16</t>
  </si>
  <si>
    <t>15436940001410</t>
  </si>
  <si>
    <t>67412</t>
  </si>
  <si>
    <t>Full Year (2025) Técnico em Meio Ambiente (GIG1) - escala 5x2 from ID</t>
  </si>
  <si>
    <t>SERVICES</t>
  </si>
  <si>
    <t>35538569-BR_4RBRL00-04416849/0001-00</t>
  </si>
  <si>
    <t>4R-16179644</t>
  </si>
  <si>
    <t>04416849/0001-00-BR_4RBRL04-1I16-Full Year (2025) Técnico em Meio Ambiente (GIG1) - escala 5x2 from ID</t>
  </si>
  <si>
    <t>https://amazon-test.coupahost.com/order_headers/12128582</t>
  </si>
  <si>
    <t>INSS-IRRF-ISS-PIS-COFINS</t>
  </si>
  <si>
    <t>4R-12128582</t>
  </si>
  <si>
    <t>SPM</t>
  </si>
  <si>
    <t>9D87</t>
  </si>
  <si>
    <t>15436940001258</t>
  </si>
  <si>
    <t>1299</t>
  </si>
  <si>
    <t>67420</t>
  </si>
  <si>
    <t>Serviço ambulatorial Worklin - Q 2</t>
  </si>
  <si>
    <t>43350796-BR_4RBRL00-30472982/0001-85</t>
  </si>
  <si>
    <t>4R-16819989</t>
  </si>
  <si>
    <t>30472982/0001-85-BR_4RBRL07-9D87-Serviço ambulatorial Worklin - Q 2</t>
  </si>
  <si>
    <t>https://amazon-test.coupahost.com/order_headers/12128583</t>
  </si>
  <si>
    <t>INSS-IRRF</t>
  </si>
  <si>
    <t>4R-12128583</t>
  </si>
  <si>
    <t>SPS</t>
  </si>
  <si>
    <t>7Z40</t>
  </si>
  <si>
    <t>15436940001843</t>
  </si>
  <si>
    <t>64715</t>
  </si>
  <si>
    <t>Prestação de Serviços Médicos Ocupacionais Especializados</t>
  </si>
  <si>
    <t>4R-16863130</t>
  </si>
  <si>
    <t>30472982/0001-85-BR_4RBRL07-7Z40-Prestação de Serviços Médicos Ocupacionais Especializados</t>
  </si>
  <si>
    <t>https://amazon-test.coupahost.com/order_headers/12128584</t>
  </si>
  <si>
    <t>4R-12128584</t>
  </si>
  <si>
    <t>RE3</t>
  </si>
  <si>
    <t>7Z55</t>
  </si>
  <si>
    <t>15436940001762</t>
  </si>
  <si>
    <t>64152</t>
  </si>
  <si>
    <t>Cordão digital 20mm com trava de segurança e terminal argola – cor amarelo - com porta crachá retrátil (REC3 azul)</t>
  </si>
  <si>
    <t>16674032-GOODS-05080498/0001-63</t>
  </si>
  <si>
    <t>4R-16964386</t>
  </si>
  <si>
    <t>05080498/0001-63-BR_4RBRL14-7Z55-Cordão digital 20mm com trava de segurança e terminal argola – cor amarelo - com porta crachá retrátil (REC3 azul)</t>
  </si>
  <si>
    <t>https://amazon-test.coupahost.com/order_headers/12128585</t>
  </si>
  <si>
    <t>ICMS</t>
  </si>
  <si>
    <t>4R-12128585</t>
  </si>
  <si>
    <t>BS1</t>
  </si>
  <si>
    <t>3B94</t>
  </si>
  <si>
    <t>15436940001096</t>
  </si>
  <si>
    <t>60110</t>
  </si>
  <si>
    <t>Labor Q2' 2025 BSB1</t>
  </si>
  <si>
    <t>4R-17187908</t>
  </si>
  <si>
    <t>04416849/0001-00-BR_4RBRL04-3B94-Labor Q2' 2025 BSB1</t>
  </si>
  <si>
    <t>https://amazon-test.coupahost.com/order_headers/12128586</t>
  </si>
  <si>
    <t>4R-12128586</t>
  </si>
  <si>
    <t>RE2</t>
  </si>
  <si>
    <t>1Y28</t>
  </si>
  <si>
    <t>15436940001509</t>
  </si>
  <si>
    <t>Labor Q1' 2025 REC1</t>
  </si>
  <si>
    <t>44507964-BR_4RBRL03-06288375/0025-52</t>
  </si>
  <si>
    <t>06288375/0025-52-BR_4RBRL05-1Y28-Labor Q1' 2025 REC1</t>
  </si>
  <si>
    <t>https://amazon-test.coupahost.com/order_headers/12128590</t>
  </si>
  <si>
    <t>INSS-ISS-PIS-COFINS</t>
  </si>
  <si>
    <t>4R-12128590</t>
  </si>
  <si>
    <t>SP2</t>
  </si>
  <si>
    <t>15436940000103</t>
  </si>
  <si>
    <t>2316</t>
  </si>
  <si>
    <t>4200</t>
  </si>
  <si>
    <t>61245</t>
  </si>
  <si>
    <t>SERVICES - 2024 Paid Search for Consumer [Microsoft]</t>
  </si>
  <si>
    <t>23811848-BR_4RBRL00-04712500/0001-07</t>
  </si>
  <si>
    <t>4R-12973931</t>
  </si>
  <si>
    <t>04712500/0001-07-BR_4RBRL11-2316-SERVICES - 2024 Paid Search for Consumer [Microsoft]</t>
  </si>
  <si>
    <t>https://amazon-test.coupahost.com/order_headers/12128591</t>
  </si>
  <si>
    <t>ISS-PIS-COFINS</t>
  </si>
  <si>
    <t>4R-12128591</t>
  </si>
  <si>
    <t>FO3</t>
  </si>
  <si>
    <t>12147176002446</t>
  </si>
  <si>
    <t>9087</t>
  </si>
  <si>
    <t>7438</t>
  </si>
  <si>
    <t>16999</t>
  </si>
  <si>
    <t>USE CONSUMPTION (any expenses) (NF-e or BOLETO)</t>
  </si>
  <si>
    <t>54529921-BR_5BBRL00-43823079/0007-59</t>
  </si>
  <si>
    <t>BR48645902</t>
  </si>
  <si>
    <t>43823079/0007-59-BR_5BBRL05-9087-USE CONSUMPTION (any expenses) (NF-e or BOLETO)</t>
  </si>
  <si>
    <t>https://amazon-test.coupahost.com/order_headers/12128587</t>
  </si>
  <si>
    <t>5B-12128587</t>
  </si>
  <si>
    <t>JD2</t>
  </si>
  <si>
    <t>12147176001474</t>
  </si>
  <si>
    <t>8207</t>
  </si>
  <si>
    <t>7465</t>
  </si>
  <si>
    <t>64155</t>
  </si>
  <si>
    <t>SERVICES (NFS-e)</t>
  </si>
  <si>
    <t>24524039-BR_5BBRL01-25278459/0002-63</t>
  </si>
  <si>
    <t>BR53597931</t>
  </si>
  <si>
    <t>25278459/0002-63-BR_5BBRL04-8207-SERVICES (NFS-e)</t>
  </si>
  <si>
    <t>https://amazon-test.coupahost.com/order_headers/12128588</t>
  </si>
  <si>
    <t>INSS-IRRF-ISS</t>
  </si>
  <si>
    <t>5B-12128588</t>
  </si>
  <si>
    <t>CP4</t>
  </si>
  <si>
    <t>1B49</t>
  </si>
  <si>
    <t>12147176001989</t>
  </si>
  <si>
    <t>7701</t>
  </si>
  <si>
    <t>60882</t>
  </si>
  <si>
    <t>15006092-BR_5BBRL00-11164650/0001-99</t>
  </si>
  <si>
    <t>BR58771311</t>
  </si>
  <si>
    <t>11164650/0001-99-BR_5BBRL07-1B49-SERVICES (NFS-e)</t>
  </si>
  <si>
    <t>https://amazon-test.coupahost.com/order_headers/12135788</t>
  </si>
  <si>
    <t>ISS</t>
  </si>
  <si>
    <t>5B-12135788</t>
  </si>
  <si>
    <t>Ready for posting</t>
  </si>
  <si>
    <t>SPV</t>
  </si>
  <si>
    <t>4P41</t>
  </si>
  <si>
    <t>15436940000871</t>
  </si>
  <si>
    <t>Service of Porta Pallet and VNA</t>
  </si>
  <si>
    <t>ASSETS</t>
  </si>
  <si>
    <t>98229992-BR_4RBRL00-87556650/0016-82</t>
  </si>
  <si>
    <t>4R-16932205</t>
  </si>
  <si>
    <t>87556650/0016-82-BR_4RBRL10-4P41-Service of Porta Pallet and VNA</t>
  </si>
  <si>
    <t>https://amazon-test.coupahost.com/order_headers/12133026</t>
  </si>
  <si>
    <t>INSS</t>
  </si>
  <si>
    <t>4R-12133026</t>
  </si>
  <si>
    <t>POA1 - Q1 2025 - Employee Labor</t>
  </si>
  <si>
    <t>37953112-BR_4RBRL00-02886427/0001-64</t>
  </si>
  <si>
    <t>4R-16289706</t>
  </si>
  <si>
    <t>2</t>
  </si>
  <si>
    <t>02886427/0001-64-BR_4RBRL03-3B88-POA1 - Q1 2025 - Employee Labor</t>
  </si>
  <si>
    <t>https://amazon-test.coupahost.com/order_headers/12130766</t>
  </si>
  <si>
    <t>4R-12130766</t>
  </si>
  <si>
    <t>SPU</t>
  </si>
  <si>
    <t>9G99</t>
  </si>
  <si>
    <t>12147176002950</t>
  </si>
  <si>
    <t>64452</t>
  </si>
  <si>
    <t>30085038-BR_5BBRL00-04562412/0001-76</t>
  </si>
  <si>
    <t>BR51259701</t>
  </si>
  <si>
    <t>04562412/0001-76-BR_5BBRL00-9G99-SERVICES (NFS-e)</t>
  </si>
  <si>
    <t>https://amazon-test.coupahost.com/order_headers/12135789</t>
  </si>
  <si>
    <t xml:space="preserve">5B-12137833 </t>
  </si>
  <si>
    <t>Inactive  in Coupa</t>
  </si>
  <si>
    <t>SERVICES - 2025 Paid Search for Consumer [Microsoft]</t>
  </si>
  <si>
    <t>04712500/0001-07-BR_4RBRL11-2316-SERVICES - 2025 Paid Search for Consumer [Microsoft]</t>
  </si>
  <si>
    <t>https://amazon-test.coupahost.com/order_headers/12130763</t>
  </si>
  <si>
    <t>4R-12130763</t>
  </si>
  <si>
    <t>JD4</t>
  </si>
  <si>
    <t>3S29</t>
  </si>
  <si>
    <t>15436940001924</t>
  </si>
  <si>
    <t>1216</t>
  </si>
  <si>
    <t>Mão de obra Yellow Badge VBPA - Outubro 2024</t>
  </si>
  <si>
    <t>21465223-BR_4RBRL01-06288375/0016-61</t>
  </si>
  <si>
    <t>4R-15095546</t>
  </si>
  <si>
    <t>06288375/0016-61-BR_4RBRL00-3S29-Mão de obra Yellow Badge VBPA - Outubro 2024</t>
  </si>
  <si>
    <t>https://amazon-test.coupahost.com/order_headers/12130764</t>
  </si>
  <si>
    <t>4R-12130764</t>
  </si>
  <si>
    <t>64114</t>
  </si>
  <si>
    <t>XCV9_Labor_Building_11</t>
  </si>
  <si>
    <t>21465223-BR_4RBRL03-06288375/0023-90</t>
  </si>
  <si>
    <t>4R-16786855</t>
  </si>
  <si>
    <t>06288375/0023-90-BR_4RBRL01-4P41-XCV9_Labor_Building_11</t>
  </si>
  <si>
    <t>https://amazon-test.coupahost.com/order_headers/12130767</t>
  </si>
  <si>
    <t>PIS-COFINS</t>
  </si>
  <si>
    <t>4R-12130767</t>
  </si>
  <si>
    <t>7453</t>
  </si>
  <si>
    <t>31975775-BR_5BBRL00-07939296/0001-50</t>
  </si>
  <si>
    <t>BR49162599</t>
  </si>
  <si>
    <t>07939296/0001-50-BR_5BBRL01-1B49-SERVICES (NFS-e)</t>
  </si>
  <si>
    <t>https://amazon-test.coupahost.com/order_headers/12131123</t>
  </si>
  <si>
    <t>IRRF-ISS</t>
  </si>
  <si>
    <t>5B-12131123</t>
  </si>
  <si>
    <t>BH3</t>
  </si>
  <si>
    <t>1Y40</t>
  </si>
  <si>
    <t>28387734000356</t>
  </si>
  <si>
    <t>1172</t>
  </si>
  <si>
    <t>Transporte para CTDI do Brasil</t>
  </si>
  <si>
    <t>58582781-BR_MNBRL00-08541459/0001-04</t>
  </si>
  <si>
    <t>08541459/0001-04-BR_MNBRL04-1Y40-Transporte para CTDI do Brasil</t>
  </si>
  <si>
    <t>https://amazon-test.coupahost.com/order_headers/12135790</t>
  </si>
  <si>
    <t>No taxes</t>
  </si>
  <si>
    <t>MN-12137835</t>
  </si>
  <si>
    <t>Ready for posting and available in OFA</t>
  </si>
  <si>
    <t>54474411-BR_5BBRL00-43823079/0019-92</t>
  </si>
  <si>
    <t>BR57818587</t>
  </si>
  <si>
    <t>3</t>
  </si>
  <si>
    <t>43823079/0019-92-BR_5BBRL06-9G99-USE CONSUMPTION (any expenses) (NF-e or BOLETO)</t>
  </si>
  <si>
    <t>https://amazon-test.coupahost.com/order_headers/12135821</t>
  </si>
  <si>
    <t>Volcano</t>
  </si>
  <si>
    <t>5B-12137834</t>
  </si>
  <si>
    <t>Inactive  in Coupa/Incorrect matching type</t>
  </si>
  <si>
    <t>64163</t>
  </si>
  <si>
    <t>Teste anual de estanqueidade de gás rede aquecedor e cozinha industrial</t>
  </si>
  <si>
    <t>39640663-BR_4RBRL00-33992396/0001-50</t>
  </si>
  <si>
    <t>4R-16143708</t>
  </si>
  <si>
    <t>33992396/0001-50-BR_4RBRL12-3B87-Teste anual de estanqueidade de gás rede aquecedor e cozinha industrial</t>
  </si>
  <si>
    <t>https://amazon-test.coupahost.com/order_headers/12130765</t>
  </si>
  <si>
    <t>4R-12130765</t>
  </si>
  <si>
    <t>Reparo Corretivo de PTA JLG ES3246</t>
  </si>
  <si>
    <t>97272550-BR_4RBRL00-35062313/0001-59</t>
  </si>
  <si>
    <t>4R-17529878</t>
  </si>
  <si>
    <t>35062313/0001-59-BR_4RBRL08-1I16-Reparo Corretivo de PTA JLG ES3246</t>
  </si>
  <si>
    <t>https://amazon-test.coupahost.com/order_headers/12131018</t>
  </si>
  <si>
    <t>4R-12131018</t>
  </si>
  <si>
    <t>PR2</t>
  </si>
  <si>
    <t>1Y60</t>
  </si>
  <si>
    <t>28387734001670</t>
  </si>
  <si>
    <t>DPR2 - Oct to Dec Q4 24 - Serviço de limpeza</t>
  </si>
  <si>
    <t>48793446-BR_MNBRL03-57559387/0001-38</t>
  </si>
  <si>
    <t>57559387/0001-38-BR_MNBRL02-1Y60-DPR2 - Oct to Dec Q4 24 - Serviço de limpeza</t>
  </si>
  <si>
    <t>https://amazon-test.coupahost.com/order_headers/12131126</t>
  </si>
  <si>
    <t>MN-12131126</t>
  </si>
  <si>
    <t>TOTE.SMRT.STW</t>
  </si>
  <si>
    <t>45331200-BR_MNBRL00-04051261/0001-91</t>
  </si>
  <si>
    <t>04051261/0001-91-BR_MNBRL00-1Y60-TOTE.SMRT.STW</t>
  </si>
  <si>
    <t>https://amazon-test.coupahost.com/order_headers/12132522</t>
  </si>
  <si>
    <t>ICMS-IPI</t>
  </si>
  <si>
    <t>MN-12132522</t>
  </si>
  <si>
    <t>AM1</t>
  </si>
  <si>
    <t>55Y0</t>
  </si>
  <si>
    <t>28387734003290</t>
  </si>
  <si>
    <t>DAM1 - Custos extras de Viagem para Visita a Agencia Ambiental</t>
  </si>
  <si>
    <t>93932044-BR_MNBRL00-22265407/0001-83</t>
  </si>
  <si>
    <t>22265407/0001-83-BR_MNBRL03-55Y0-DAM1 - Custos extras de Viagem para Visita a Agencia Ambiental</t>
  </si>
  <si>
    <t>https://amazon-test.coupahost.com/order_headers/12135798</t>
  </si>
  <si>
    <t>MN-12135798</t>
  </si>
  <si>
    <t>SPC</t>
  </si>
  <si>
    <t>15436940000367</t>
  </si>
  <si>
    <t>1183</t>
  </si>
  <si>
    <t>Services - Local Carrier Schenker 2024 - NAFN GRU5</t>
  </si>
  <si>
    <t>36575332-BR_4RBRL00-43823079/0007-59</t>
  </si>
  <si>
    <t>43823079/0007-59-BR_4RBRL13-2318-Services - Local Carrier Schenker 2024 - NAFN GRU5</t>
  </si>
  <si>
    <t>https://amazon-test.coupahost.com/order_headers/12135812</t>
  </si>
  <si>
    <t>ICMS-PIS-COFINS</t>
  </si>
  <si>
    <t>4R-12135812</t>
  </si>
  <si>
    <t>https://amazon-test.coupahost.com/order_headers/12135813</t>
  </si>
  <si>
    <t>4R-12135813</t>
  </si>
  <si>
    <t>https://amazon-test.coupahost.com/order_headers/12135814</t>
  </si>
  <si>
    <t xml:space="preserve">4R-12135814 </t>
  </si>
  <si>
    <t>TAPE.STRIPE.BKYL.36</t>
  </si>
  <si>
    <t>53947530-BR_MNBRL02-06913480/0015-63</t>
  </si>
  <si>
    <t>06913480/0015-63-BR_MNBRL01-55Y0-TAPE.STRIPE.BKYL.36</t>
  </si>
  <si>
    <t>https://amazon-test.coupahost.com/order_headers/12135802</t>
  </si>
  <si>
    <t>MN-12135802</t>
  </si>
  <si>
    <t>7751</t>
  </si>
  <si>
    <t>64757</t>
  </si>
  <si>
    <t>BR57828070</t>
  </si>
  <si>
    <t>43823079/0019-92-BR_5BBRL06-8207-USE CONSUMPTION (any expenses) (NF-e or BOLETO)</t>
  </si>
  <si>
    <t>https://amazon-test.coupahost.com/order_headers/12132520</t>
  </si>
  <si>
    <t>5B-12132520</t>
  </si>
  <si>
    <t>1200</t>
  </si>
  <si>
    <t>20302</t>
  </si>
  <si>
    <t>PAC99321-BR-Amazon Branded Water Activated Tape, 60mm x 150M</t>
  </si>
  <si>
    <t>CONSUMABLES</t>
  </si>
  <si>
    <t>29743868-BR_4RBRL00-67509729/0001-69</t>
  </si>
  <si>
    <t>4R-15541553</t>
  </si>
  <si>
    <t>67509729/0001-69-BR_4RBRL02-7Z55-PAC99321-BR-Amazon Branded Water Activated Tape, 60mm x 150M</t>
  </si>
  <si>
    <t>Missing PO</t>
  </si>
  <si>
    <t>FO4</t>
  </si>
  <si>
    <t>1I17</t>
  </si>
  <si>
    <t>15436940001681</t>
  </si>
  <si>
    <t>PAC20789-BR-Polibag PM3</t>
  </si>
  <si>
    <t>4R-16186408</t>
  </si>
  <si>
    <t>67509729/0001-69-BR_4RBRL02-1I17-PAC20789-BR-Polibag PM3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</si>
</sst>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8"/>
      <name val="Aptos Narrow"/>
      <family val="2"/>
      <scheme val="minor"/>
    </font>
    <font>
      <b/>
      <sz val="8"/>
      <color rgb="FF60768A"/>
      <name val="Arial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1" fillId="0" borderId="2" xfId="0" applyFont="1" applyBorder="1"/>
    <xf numFmtId="0" fontId="1" fillId="3" borderId="2" xfId="0" applyFont="1" applyFill="1" applyBorder="1"/>
    <xf numFmtId="0" fontId="0" fillId="4" borderId="3" xfId="0" applyFill="1" applyBorder="1"/>
    <xf numFmtId="43" fontId="1" fillId="0" borderId="0" xfId="1" applyFont="1"/>
    <xf numFmtId="0" fontId="4" fillId="0" borderId="0" xfId="0" applyFont="1"/>
    <xf numFmtId="43" fontId="4" fillId="0" borderId="0" xfId="1" applyFont="1"/>
    <xf numFmtId="0" fontId="4" fillId="0" borderId="0" xfId="0" applyFont="1" applyAlignment="1">
      <alignment horizontal="center"/>
    </xf>
    <xf numFmtId="0" fontId="6" fillId="6" borderId="4" xfId="0" applyFont="1" applyFill="1" applyBorder="1"/>
    <xf numFmtId="0" fontId="6" fillId="6" borderId="4" xfId="0" applyFont="1" applyFill="1" applyBorder="1" applyAlignment="1">
      <alignment horizontal="center"/>
    </xf>
    <xf numFmtId="0" fontId="5" fillId="5" borderId="5" xfId="0" applyFont="1" applyFill="1" applyBorder="1"/>
    <xf numFmtId="0" fontId="5" fillId="5" borderId="5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6" fillId="9" borderId="4" xfId="0" applyFont="1" applyFill="1" applyBorder="1"/>
    <xf numFmtId="0" fontId="6" fillId="9" borderId="4" xfId="0" applyFont="1" applyFill="1" applyBorder="1" applyAlignment="1">
      <alignment horizontal="center"/>
    </xf>
    <xf numFmtId="49" fontId="6" fillId="9" borderId="4" xfId="0" applyNumberFormat="1" applyFont="1" applyFill="1" applyBorder="1" applyAlignment="1">
      <alignment vertical="center"/>
    </xf>
    <xf numFmtId="43" fontId="6" fillId="9" borderId="4" xfId="1" applyFont="1" applyFill="1" applyBorder="1"/>
    <xf numFmtId="0" fontId="5" fillId="5" borderId="5" xfId="0" quotePrefix="1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center" vertical="center"/>
    </xf>
    <xf numFmtId="43" fontId="5" fillId="10" borderId="5" xfId="1" applyFont="1" applyFill="1" applyBorder="1" applyAlignment="1">
      <alignment horizontal="center" vertical="center"/>
    </xf>
    <xf numFmtId="0" fontId="5" fillId="10" borderId="5" xfId="0" applyFont="1" applyFill="1" applyBorder="1"/>
    <xf numFmtId="0" fontId="5" fillId="10" borderId="5" xfId="0" applyFont="1" applyFill="1" applyBorder="1" applyAlignment="1">
      <alignment horizontal="center"/>
    </xf>
    <xf numFmtId="49" fontId="5" fillId="10" borderId="5" xfId="0" applyNumberFormat="1" applyFont="1" applyFill="1" applyBorder="1" applyAlignment="1">
      <alignment horizontal="center" vertical="center"/>
    </xf>
    <xf numFmtId="43" fontId="5" fillId="10" borderId="5" xfId="1" applyFont="1" applyFill="1" applyBorder="1"/>
    <xf numFmtId="43" fontId="5" fillId="8" borderId="5" xfId="1" applyFont="1" applyFill="1" applyBorder="1"/>
    <xf numFmtId="0" fontId="5" fillId="5" borderId="0" xfId="0" applyFont="1" applyFill="1"/>
    <xf numFmtId="0" fontId="11" fillId="5" borderId="5" xfId="3" applyFont="1" applyFill="1" applyBorder="1"/>
    <xf numFmtId="0" fontId="11" fillId="5" borderId="5" xfId="2" applyFont="1" applyFill="1" applyBorder="1" applyAlignment="1">
      <alignment horizontal="center"/>
    </xf>
    <xf numFmtId="0" fontId="11" fillId="13" borderId="5" xfId="3" applyFont="1" applyFill="1" applyBorder="1"/>
    <xf numFmtId="43" fontId="5" fillId="10" borderId="5" xfId="1" applyFont="1" applyFill="1" applyBorder="1" applyAlignment="1">
      <alignment horizontal="left" vertical="center"/>
    </xf>
    <xf numFmtId="0" fontId="5" fillId="8" borderId="5" xfId="0" applyFont="1" applyFill="1" applyBorder="1"/>
    <xf numFmtId="0" fontId="5" fillId="14" borderId="5" xfId="0" applyFont="1" applyFill="1" applyBorder="1" applyAlignment="1">
      <alignment horizontal="center" vertical="center"/>
    </xf>
    <xf numFmtId="0" fontId="5" fillId="14" borderId="5" xfId="0" applyFont="1" applyFill="1" applyBorder="1"/>
    <xf numFmtId="0" fontId="5" fillId="14" borderId="5" xfId="0" applyFont="1" applyFill="1" applyBorder="1" applyAlignment="1">
      <alignment horizontal="center"/>
    </xf>
    <xf numFmtId="49" fontId="5" fillId="14" borderId="5" xfId="0" applyNumberFormat="1" applyFont="1" applyFill="1" applyBorder="1" applyAlignment="1">
      <alignment horizontal="center" vertical="center"/>
    </xf>
    <xf numFmtId="0" fontId="12" fillId="5" borderId="5" xfId="4" applyFill="1" applyBorder="1" applyAlignment="1">
      <alignment horizontal="center"/>
    </xf>
    <xf numFmtId="0" fontId="11" fillId="15" borderId="5" xfId="2" applyFont="1" applyFill="1" applyBorder="1" applyAlignment="1">
      <alignment horizontal="center"/>
    </xf>
    <xf numFmtId="0" fontId="11" fillId="5" borderId="5" xfId="2" quotePrefix="1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11" fillId="16" borderId="5" xfId="2" quotePrefix="1" applyFont="1" applyFill="1" applyBorder="1" applyAlignment="1">
      <alignment horizontal="center"/>
    </xf>
    <xf numFmtId="0" fontId="5" fillId="16" borderId="5" xfId="0" applyFont="1" applyFill="1" applyBorder="1"/>
  </cellXfs>
  <cellStyles count="5">
    <cellStyle name="Comma" xfId="1" builtinId="3"/>
    <cellStyle name="Good" xfId="2" builtinId="26"/>
    <cellStyle name="Hyperlink" xfId="4" builtinId="8"/>
    <cellStyle name="Neutral" xfId="3" builtinId="28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749992370372631"/>
        </patternFill>
      </fill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colors>
    <mruColors>
      <color rgb="FFCDF3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656F1-64BF-4E57-9730-8DD81256431E}" name="Table1" displayName="Table1" ref="A1:AE34" totalsRowShown="0" headerRowDxfId="32" dataDxfId="31">
  <autoFilter ref="A1:AE34" xr:uid="{500656F1-64BF-4E57-9730-8DD81256431E}"/>
  <sortState xmlns:xlrd2="http://schemas.microsoft.com/office/spreadsheetml/2017/richdata2" ref="A16:AE34">
    <sortCondition ref="AD1:AD34"/>
  </sortState>
  <tableColumns count="31">
    <tableColumn id="1" xr3:uid="{9B0C9032-402D-4F51-9758-4E75A215A514}" name="VENDOR_CNPJ" dataDxfId="30"/>
    <tableColumn id="2" xr3:uid="{2BE9C6FB-FF3F-4A37-8922-F3619FD92F35}" name="FINT SUPPLIER #" dataDxfId="29"/>
    <tableColumn id="3" xr3:uid="{3A09FDE8-5D04-4579-8E49-831914901203}" name="SITE NAME" dataDxfId="28"/>
    <tableColumn id="4" xr3:uid="{B290B965-8715-4889-9E0A-D59E5FAA840B}" name="Contributor Type*" dataDxfId="27"/>
    <tableColumn id="5" xr3:uid="{F6C50001-C64C-4875-BBAB-D8CB496F2979}" name="Entity" dataDxfId="26"/>
    <tableColumn id="6" xr3:uid="{3F289085-0A07-4AFA-8F02-E6163AB1C8A3}" name="ORG_CODE" dataDxfId="25"/>
    <tableColumn id="7" xr3:uid="{2B7D2C9E-A3EE-4656-B9E0-A6F45B753BC7}" name="Parent Location" dataDxfId="24"/>
    <tableColumn id="8" xr3:uid="{70DAC649-D80E-488C-BAA5-12E727C1824C}" name="Amazon's CNPJ/Tax ID" dataDxfId="23"/>
    <tableColumn id="9" xr3:uid="{9F817DD4-5443-4021-BB55-FDE0ED5C191C}" name="Company Code" dataDxfId="22"/>
    <tableColumn id="10" xr3:uid="{ABCA3737-063D-478A-A342-BD136DEB6FA3}" name="Location" dataDxfId="21"/>
    <tableColumn id="11" xr3:uid="{4CF9EA77-FB7D-4083-8C6B-3633C794D839}" name="Cost Center" dataDxfId="20"/>
    <tableColumn id="12" xr3:uid="{7C5D28AC-65FF-4E31-B6A5-52459CC61200}" name="Account" dataDxfId="19"/>
    <tableColumn id="13" xr3:uid="{87E011EC-AF72-43F4-BEDD-A0C86B8649A4}" name="Description" dataDxfId="18"/>
    <tableColumn id="14" xr3:uid="{EFA1BF81-B62D-4D23-908D-AF14FA69E7FF}" name="Matching Type" dataDxfId="17"/>
    <tableColumn id="15" xr3:uid="{E05247FD-BD68-4952-98C4-84EF4F88BCF8}" name="Item category" dataDxfId="16"/>
    <tableColumn id="16" xr3:uid="{D4AE29F4-34A4-43FD-B708-A733514EDE1B}" name="Currency" dataDxfId="15"/>
    <tableColumn id="17" xr3:uid="{5E0D878F-5287-4255-9878-655BBDC2BD68}" name="Price" dataDxfId="14" dataCellStyle="Comma"/>
    <tableColumn id="18" xr3:uid="{8D264C11-AAAF-4549-8404-EA290F08D42E}" name="Quantity" dataDxfId="13" dataCellStyle="Comma"/>
    <tableColumn id="19" xr3:uid="{34D161AB-41E8-4764-8B31-2F398077E395}" name="Amount" dataDxfId="12" dataCellStyle="Comma"/>
    <tableColumn id="20" xr3:uid="{352D934D-EA32-43AB-A68F-5C0BFA2F2FBA}" name="Link" dataDxfId="11"/>
    <tableColumn id="21" xr3:uid="{E6937F11-B70D-41F5-A7C0-0C606ECC3271}" name="SUPPLIER_NUM-VENDOR_SITE_CODE" dataDxfId="10"/>
    <tableColumn id="22" xr3:uid="{E437336D-8A88-4AF9-8C8E-E7E1BA3AAA68}" name="Readiness?" dataDxfId="9"/>
    <tableColumn id="23" xr3:uid="{F6212D92-33C8-498F-975A-D41ABC7CC76F}" name="Production PO" dataDxfId="8"/>
    <tableColumn id="29" xr3:uid="{512B65E2-8F85-4008-A0E9-284E256D9D2D}" name="Priority" dataDxfId="7"/>
    <tableColumn id="33" xr3:uid="{48F75235-ECE4-4250-A37A-00CAE9B95AF1}" name="Column4" dataDxfId="6"/>
    <tableColumn id="24" xr3:uid="{6FC7651F-77CD-4F16-BA07-4565A0E5755B}" name="New PO Link" dataDxfId="5"/>
    <tableColumn id="26" xr3:uid="{50E14684-7BE0-4770-B1B7-DFC5F31A891F}" name="Column1" dataDxfId="4"/>
    <tableColumn id="27" xr3:uid="{643EE2D5-3FA8-4375-BB76-4C5CF663C247}" name="Column2" dataDxfId="3"/>
    <tableColumn id="28" xr3:uid="{AB7EE41C-1D5E-4C6C-B2B5-0A2223DCC9ED}" name="Column3" dataDxfId="2"/>
    <tableColumn id="25" xr3:uid="{846C8C73-B116-4B97-8008-F4D56E1A4FEE}" name="New PO #" dataDxfId="1"/>
    <tableColumn id="30" xr3:uid="{B34A1E39-E2B8-475C-AA72-5F0405A008A3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F159-D664-4DE6-9A90-EC3001CAB785}">
  <dimension ref="A1:Q29"/>
  <sheetViews>
    <sheetView topLeftCell="D1" workbookViewId="0">
      <selection activeCell="E3" sqref="E3"/>
    </sheetView>
  </sheetViews>
  <sheetFormatPr defaultColWidth="8.77734375" defaultRowHeight="12.75"/>
  <cols>
    <col min="1" max="1" width="52.44140625" style="4" hidden="1" customWidth="1"/>
    <col min="2" max="2" width="14.109375" style="4" hidden="1" customWidth="1"/>
    <col min="3" max="3" width="13.77734375" style="4" hidden="1" customWidth="1"/>
    <col min="4" max="6" width="14.88671875" style="4" customWidth="1"/>
    <col min="7" max="7" width="15.77734375" style="4" customWidth="1"/>
    <col min="8" max="8" width="12.109375" style="4" customWidth="1"/>
    <col min="9" max="9" width="22.33203125" style="4" bestFit="1" customWidth="1"/>
    <col min="10" max="10" width="19.21875" style="4" customWidth="1"/>
    <col min="11" max="11" width="8.77734375" style="4"/>
    <col min="12" max="12" width="32.88671875" style="4" bestFit="1" customWidth="1"/>
    <col min="13" max="13" width="8.77734375" style="4" customWidth="1"/>
    <col min="14" max="14" width="27.77734375" style="4" customWidth="1"/>
    <col min="15" max="15" width="4.33203125" style="4" customWidth="1"/>
    <col min="16" max="17" width="9.88671875" style="8" bestFit="1" customWidth="1"/>
    <col min="18" max="16384" width="8.77734375" style="4"/>
  </cols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4" t="s">
        <v>10</v>
      </c>
      <c r="L1" s="4" t="str">
        <f>B1&amp;"-"&amp;C1</f>
        <v>SUPPLIER_NUM-VENDOR_SITE_CODE</v>
      </c>
      <c r="M1" s="4" t="s">
        <v>11</v>
      </c>
    </row>
    <row r="2" spans="1:17">
      <c r="A2" s="5" t="s">
        <v>12</v>
      </c>
      <c r="B2" s="5">
        <v>16674032</v>
      </c>
      <c r="C2" s="5" t="s">
        <v>13</v>
      </c>
      <c r="D2" s="6" t="s">
        <v>14</v>
      </c>
      <c r="E2" s="5">
        <v>95197926</v>
      </c>
      <c r="F2" s="6" t="s">
        <v>15</v>
      </c>
      <c r="G2" s="6" t="s">
        <v>16</v>
      </c>
      <c r="H2" s="5" t="s">
        <v>17</v>
      </c>
      <c r="I2" s="6" t="s">
        <v>18</v>
      </c>
      <c r="J2" s="5" t="s">
        <v>19</v>
      </c>
      <c r="K2" s="4" t="s">
        <v>20</v>
      </c>
      <c r="L2" s="4" t="str">
        <f>B2&amp;"-"&amp;C2&amp;"-"&amp;D2</f>
        <v>16674032-GOODS-05080498/0001-63</v>
      </c>
      <c r="M2" s="4" t="s">
        <v>21</v>
      </c>
    </row>
    <row r="3" spans="1:17">
      <c r="A3" s="5" t="s">
        <v>22</v>
      </c>
      <c r="B3" s="5">
        <v>45331200</v>
      </c>
      <c r="C3" s="5" t="s">
        <v>23</v>
      </c>
      <c r="D3" s="6" t="s">
        <v>24</v>
      </c>
      <c r="E3" s="5">
        <v>95411174</v>
      </c>
      <c r="F3" s="6" t="s">
        <v>23</v>
      </c>
      <c r="G3" s="5" t="s">
        <v>25</v>
      </c>
      <c r="H3" s="5" t="s">
        <v>17</v>
      </c>
      <c r="I3" s="6" t="s">
        <v>26</v>
      </c>
      <c r="J3" s="5" t="s">
        <v>27</v>
      </c>
      <c r="K3" s="4" t="s">
        <v>28</v>
      </c>
      <c r="L3" s="4" t="str">
        <f t="shared" ref="L3:L29" si="0">B3&amp;"-"&amp;C3&amp;"-"&amp;D3</f>
        <v>45331200-BR_MNBRL00-04051261/0001-91</v>
      </c>
      <c r="M3" s="4" t="s">
        <v>29</v>
      </c>
      <c r="P3" s="4"/>
      <c r="Q3" s="4"/>
    </row>
    <row r="4" spans="1:17">
      <c r="A4" s="5" t="s">
        <v>30</v>
      </c>
      <c r="B4" s="5">
        <v>21465223</v>
      </c>
      <c r="C4" s="5" t="s">
        <v>31</v>
      </c>
      <c r="D4" s="6" t="s">
        <v>32</v>
      </c>
      <c r="E4" s="5">
        <v>95197926</v>
      </c>
      <c r="F4" s="6" t="s">
        <v>33</v>
      </c>
      <c r="G4" s="5" t="s">
        <v>25</v>
      </c>
      <c r="H4" s="5" t="s">
        <v>17</v>
      </c>
      <c r="I4" s="6" t="s">
        <v>26</v>
      </c>
      <c r="J4" s="5" t="s">
        <v>19</v>
      </c>
      <c r="K4" s="4" t="s">
        <v>20</v>
      </c>
      <c r="L4" s="4" t="str">
        <f t="shared" si="0"/>
        <v>21465223-BR_4RBRL01-06288375/0016-61</v>
      </c>
      <c r="M4" s="4" t="s">
        <v>21</v>
      </c>
    </row>
    <row r="5" spans="1:17">
      <c r="A5" s="5" t="s">
        <v>30</v>
      </c>
      <c r="B5" s="5">
        <v>21465223</v>
      </c>
      <c r="C5" s="5" t="s">
        <v>34</v>
      </c>
      <c r="D5" s="6" t="s">
        <v>35</v>
      </c>
      <c r="E5" s="5">
        <v>95197926</v>
      </c>
      <c r="F5" s="6" t="s">
        <v>31</v>
      </c>
      <c r="G5" s="5" t="s">
        <v>25</v>
      </c>
      <c r="H5" s="5" t="s">
        <v>17</v>
      </c>
      <c r="I5" s="6" t="s">
        <v>26</v>
      </c>
      <c r="J5" s="5" t="s">
        <v>19</v>
      </c>
      <c r="K5" s="4" t="s">
        <v>20</v>
      </c>
      <c r="L5" s="4" t="str">
        <f t="shared" si="0"/>
        <v>21465223-BR_4RBRL03-06288375/0023-90</v>
      </c>
      <c r="M5" s="4" t="s">
        <v>21</v>
      </c>
    </row>
    <row r="6" spans="1:17">
      <c r="A6" s="5" t="s">
        <v>36</v>
      </c>
      <c r="B6" s="5">
        <v>53947530</v>
      </c>
      <c r="C6" s="5" t="s">
        <v>37</v>
      </c>
      <c r="D6" s="6" t="s">
        <v>38</v>
      </c>
      <c r="E6" s="5">
        <v>95411174</v>
      </c>
      <c r="F6" s="6" t="s">
        <v>39</v>
      </c>
      <c r="G6" s="5" t="s">
        <v>40</v>
      </c>
      <c r="H6" s="5" t="s">
        <v>17</v>
      </c>
      <c r="I6" s="6" t="s">
        <v>26</v>
      </c>
      <c r="J6" s="5" t="s">
        <v>27</v>
      </c>
      <c r="K6" s="4" t="s">
        <v>28</v>
      </c>
      <c r="L6" s="4" t="str">
        <f t="shared" si="0"/>
        <v>53947530-BR_MNBRL02-06913480/0015-63</v>
      </c>
      <c r="M6" s="4" t="s">
        <v>29</v>
      </c>
      <c r="P6" s="4"/>
      <c r="Q6" s="4"/>
    </row>
    <row r="7" spans="1:17">
      <c r="A7" s="5" t="s">
        <v>41</v>
      </c>
      <c r="B7" s="5">
        <v>29743868</v>
      </c>
      <c r="C7" s="5" t="s">
        <v>33</v>
      </c>
      <c r="D7" s="6" t="s">
        <v>42</v>
      </c>
      <c r="E7" s="5">
        <v>95197926</v>
      </c>
      <c r="F7" s="6" t="s">
        <v>43</v>
      </c>
      <c r="G7" s="5" t="s">
        <v>44</v>
      </c>
      <c r="H7" s="5" t="s">
        <v>17</v>
      </c>
      <c r="I7" s="6" t="s">
        <v>26</v>
      </c>
      <c r="J7" s="5" t="s">
        <v>19</v>
      </c>
      <c r="K7" s="4" t="s">
        <v>20</v>
      </c>
      <c r="L7" s="4" t="str">
        <f t="shared" si="0"/>
        <v>29743868-BR_4RBRL00-67509729/0001-69</v>
      </c>
      <c r="M7" s="4" t="s">
        <v>21</v>
      </c>
    </row>
    <row r="8" spans="1:17">
      <c r="A8" s="5" t="s">
        <v>45</v>
      </c>
      <c r="B8" s="5">
        <v>37953112</v>
      </c>
      <c r="C8" s="5" t="s">
        <v>33</v>
      </c>
      <c r="D8" s="6" t="s">
        <v>46</v>
      </c>
      <c r="E8" s="5">
        <v>95197926</v>
      </c>
      <c r="F8" s="6" t="s">
        <v>34</v>
      </c>
      <c r="G8" s="6" t="s">
        <v>16</v>
      </c>
      <c r="H8" s="5" t="s">
        <v>17</v>
      </c>
      <c r="I8" s="6" t="s">
        <v>47</v>
      </c>
      <c r="J8" s="5" t="s">
        <v>19</v>
      </c>
      <c r="K8" s="4" t="s">
        <v>20</v>
      </c>
      <c r="L8" s="4" t="str">
        <f t="shared" si="0"/>
        <v>37953112-BR_4RBRL00-02886427/0001-64</v>
      </c>
      <c r="M8" s="4" t="s">
        <v>21</v>
      </c>
    </row>
    <row r="9" spans="1:17">
      <c r="A9" s="5" t="s">
        <v>48</v>
      </c>
      <c r="B9" s="5">
        <v>35538569</v>
      </c>
      <c r="C9" s="5" t="s">
        <v>33</v>
      </c>
      <c r="D9" s="6" t="s">
        <v>49</v>
      </c>
      <c r="E9" s="5">
        <v>95197926</v>
      </c>
      <c r="F9" s="6" t="s">
        <v>50</v>
      </c>
      <c r="G9" s="5" t="s">
        <v>44</v>
      </c>
      <c r="H9" s="5" t="s">
        <v>17</v>
      </c>
      <c r="I9" s="6" t="s">
        <v>47</v>
      </c>
      <c r="J9" s="5" t="s">
        <v>19</v>
      </c>
      <c r="K9" s="4" t="s">
        <v>20</v>
      </c>
      <c r="L9" s="4" t="str">
        <f t="shared" si="0"/>
        <v>35538569-BR_4RBRL00-04416849/0001-00</v>
      </c>
      <c r="M9" s="4" t="s">
        <v>21</v>
      </c>
    </row>
    <row r="10" spans="1:17">
      <c r="A10" s="5" t="s">
        <v>51</v>
      </c>
      <c r="B10" s="5">
        <v>30085038</v>
      </c>
      <c r="C10" s="6" t="s">
        <v>52</v>
      </c>
      <c r="D10" s="6" t="s">
        <v>53</v>
      </c>
      <c r="E10" s="5">
        <v>94045721</v>
      </c>
      <c r="F10" s="6" t="s">
        <v>52</v>
      </c>
      <c r="G10" s="5" t="s">
        <v>54</v>
      </c>
      <c r="H10" s="5" t="s">
        <v>17</v>
      </c>
      <c r="I10" s="6" t="s">
        <v>47</v>
      </c>
      <c r="J10" s="5" t="s">
        <v>55</v>
      </c>
      <c r="K10" s="4" t="s">
        <v>56</v>
      </c>
      <c r="L10" s="4" t="str">
        <f t="shared" si="0"/>
        <v>30085038-BR_5BBRL00-04562412/0001-76</v>
      </c>
      <c r="M10" s="4" t="s">
        <v>21</v>
      </c>
    </row>
    <row r="11" spans="1:17">
      <c r="A11" s="5" t="s">
        <v>57</v>
      </c>
      <c r="B11" s="5">
        <v>44507964</v>
      </c>
      <c r="C11" s="5" t="s">
        <v>34</v>
      </c>
      <c r="D11" s="6" t="s">
        <v>58</v>
      </c>
      <c r="E11" s="5">
        <v>95197926</v>
      </c>
      <c r="F11" s="6" t="s">
        <v>59</v>
      </c>
      <c r="G11" s="5" t="s">
        <v>60</v>
      </c>
      <c r="H11" s="5" t="s">
        <v>17</v>
      </c>
      <c r="I11" s="6" t="s">
        <v>47</v>
      </c>
      <c r="J11" s="5" t="s">
        <v>19</v>
      </c>
      <c r="K11" s="4" t="s">
        <v>20</v>
      </c>
      <c r="L11" s="4" t="str">
        <f t="shared" si="0"/>
        <v>44507964-BR_4RBRL03-06288375/0025-52</v>
      </c>
      <c r="M11" s="4" t="s">
        <v>29</v>
      </c>
      <c r="P11" s="4"/>
      <c r="Q11" s="4"/>
    </row>
    <row r="12" spans="1:17">
      <c r="A12" s="5" t="s">
        <v>61</v>
      </c>
      <c r="B12" s="5">
        <v>31975775</v>
      </c>
      <c r="C12" s="5" t="s">
        <v>52</v>
      </c>
      <c r="D12" s="6" t="s">
        <v>62</v>
      </c>
      <c r="E12" s="5">
        <v>94045721</v>
      </c>
      <c r="F12" s="6" t="s">
        <v>63</v>
      </c>
      <c r="G12" s="6" t="s">
        <v>16</v>
      </c>
      <c r="H12" s="5" t="s">
        <v>17</v>
      </c>
      <c r="I12" s="6" t="s">
        <v>47</v>
      </c>
      <c r="J12" s="5" t="s">
        <v>55</v>
      </c>
      <c r="K12" s="4" t="s">
        <v>56</v>
      </c>
      <c r="L12" s="4" t="str">
        <f t="shared" si="0"/>
        <v>31975775-BR_5BBRL00-07939296/0001-50</v>
      </c>
      <c r="M12" s="4" t="s">
        <v>21</v>
      </c>
    </row>
    <row r="13" spans="1:17">
      <c r="A13" s="5" t="s">
        <v>64</v>
      </c>
      <c r="B13" s="5">
        <v>29765216</v>
      </c>
      <c r="C13" s="5" t="s">
        <v>52</v>
      </c>
      <c r="D13" s="6" t="s">
        <v>65</v>
      </c>
      <c r="E13" s="5">
        <v>94045721</v>
      </c>
      <c r="F13" s="6" t="s">
        <v>66</v>
      </c>
      <c r="G13" s="5" t="s">
        <v>67</v>
      </c>
      <c r="H13" s="5" t="s">
        <v>17</v>
      </c>
      <c r="I13" s="6" t="s">
        <v>47</v>
      </c>
      <c r="J13" s="5" t="s">
        <v>55</v>
      </c>
      <c r="K13" s="4" t="s">
        <v>56</v>
      </c>
      <c r="L13" s="4" t="str">
        <f t="shared" si="0"/>
        <v>29765216-BR_5BBRL00-13743550/0007-38</v>
      </c>
      <c r="M13" s="4" t="s">
        <v>21</v>
      </c>
    </row>
    <row r="14" spans="1:17">
      <c r="A14" s="5" t="s">
        <v>68</v>
      </c>
      <c r="B14" s="5">
        <v>49851224</v>
      </c>
      <c r="C14" s="5" t="s">
        <v>33</v>
      </c>
      <c r="D14" s="6" t="s">
        <v>69</v>
      </c>
      <c r="E14" s="5">
        <v>95197926</v>
      </c>
      <c r="F14" s="6" t="s">
        <v>70</v>
      </c>
      <c r="G14" s="5" t="s">
        <v>71</v>
      </c>
      <c r="H14" s="5" t="s">
        <v>17</v>
      </c>
      <c r="I14" s="6" t="s">
        <v>47</v>
      </c>
      <c r="J14" s="5" t="s">
        <v>19</v>
      </c>
      <c r="K14" s="4" t="s">
        <v>20</v>
      </c>
      <c r="L14" s="4" t="str">
        <f t="shared" si="0"/>
        <v>49851224-BR_4RBRL00-21602658/0001-43</v>
      </c>
      <c r="M14" s="4" t="s">
        <v>21</v>
      </c>
    </row>
    <row r="15" spans="1:17">
      <c r="A15" s="5" t="s">
        <v>72</v>
      </c>
      <c r="B15" s="5">
        <v>24524039</v>
      </c>
      <c r="C15" s="5" t="s">
        <v>63</v>
      </c>
      <c r="D15" s="6" t="s">
        <v>73</v>
      </c>
      <c r="E15" s="5">
        <v>94045721</v>
      </c>
      <c r="F15" s="6" t="s">
        <v>74</v>
      </c>
      <c r="G15" s="6" t="s">
        <v>16</v>
      </c>
      <c r="H15" s="5" t="s">
        <v>17</v>
      </c>
      <c r="I15" s="6" t="s">
        <v>47</v>
      </c>
      <c r="J15" s="5" t="s">
        <v>55</v>
      </c>
      <c r="K15" s="4" t="s">
        <v>56</v>
      </c>
      <c r="L15" s="4" t="str">
        <f t="shared" si="0"/>
        <v>24524039-BR_5BBRL01-25278459/0002-63</v>
      </c>
      <c r="M15" s="4" t="s">
        <v>21</v>
      </c>
    </row>
    <row r="16" spans="1:17">
      <c r="A16" s="5" t="s">
        <v>75</v>
      </c>
      <c r="B16" s="5">
        <v>43350796</v>
      </c>
      <c r="C16" s="5" t="s">
        <v>33</v>
      </c>
      <c r="D16" s="6" t="s">
        <v>76</v>
      </c>
      <c r="E16" s="5">
        <v>95197926</v>
      </c>
      <c r="F16" s="6" t="s">
        <v>77</v>
      </c>
      <c r="G16" s="5" t="s">
        <v>44</v>
      </c>
      <c r="H16" s="5" t="s">
        <v>17</v>
      </c>
      <c r="I16" s="6" t="s">
        <v>47</v>
      </c>
      <c r="J16" s="5" t="s">
        <v>19</v>
      </c>
      <c r="K16" s="4" t="s">
        <v>20</v>
      </c>
      <c r="L16" s="4" t="str">
        <f t="shared" si="0"/>
        <v>43350796-BR_4RBRL00-30472982/0001-85</v>
      </c>
      <c r="M16" s="4" t="s">
        <v>21</v>
      </c>
    </row>
    <row r="17" spans="1:17">
      <c r="A17" s="5" t="s">
        <v>78</v>
      </c>
      <c r="B17" s="5">
        <v>97272550</v>
      </c>
      <c r="C17" s="5" t="s">
        <v>33</v>
      </c>
      <c r="D17" s="6" t="s">
        <v>79</v>
      </c>
      <c r="E17" s="5">
        <v>95197926</v>
      </c>
      <c r="F17" s="6" t="s">
        <v>80</v>
      </c>
      <c r="G17" s="5" t="s">
        <v>81</v>
      </c>
      <c r="H17" s="5" t="s">
        <v>17</v>
      </c>
      <c r="I17" s="6" t="s">
        <v>47</v>
      </c>
      <c r="J17" s="5" t="s">
        <v>19</v>
      </c>
      <c r="K17" s="4" t="s">
        <v>20</v>
      </c>
      <c r="L17" s="4" t="str">
        <f t="shared" si="0"/>
        <v>97272550-BR_4RBRL00-35062313/0001-59</v>
      </c>
      <c r="M17" s="4" t="s">
        <v>21</v>
      </c>
    </row>
    <row r="18" spans="1:17">
      <c r="A18" s="5" t="s">
        <v>82</v>
      </c>
      <c r="B18" s="5">
        <v>29579262</v>
      </c>
      <c r="C18" s="5" t="s">
        <v>33</v>
      </c>
      <c r="D18" s="6" t="s">
        <v>83</v>
      </c>
      <c r="E18" s="5">
        <v>95197926</v>
      </c>
      <c r="F18" s="6" t="s">
        <v>84</v>
      </c>
      <c r="G18" s="5" t="s">
        <v>85</v>
      </c>
      <c r="H18" s="5" t="s">
        <v>17</v>
      </c>
      <c r="I18" s="6" t="s">
        <v>47</v>
      </c>
      <c r="J18" s="5" t="s">
        <v>19</v>
      </c>
      <c r="K18" s="4" t="s">
        <v>20</v>
      </c>
      <c r="L18" s="4" t="str">
        <f t="shared" si="0"/>
        <v>29579262-BR_4RBRL00-51284743/0002-52</v>
      </c>
      <c r="M18" s="4" t="s">
        <v>21</v>
      </c>
    </row>
    <row r="19" spans="1:17">
      <c r="A19" s="5" t="s">
        <v>86</v>
      </c>
      <c r="B19" s="5">
        <v>48793446</v>
      </c>
      <c r="C19" s="5" t="s">
        <v>87</v>
      </c>
      <c r="D19" s="6" t="s">
        <v>88</v>
      </c>
      <c r="E19" s="5">
        <v>95411174</v>
      </c>
      <c r="F19" s="6" t="s">
        <v>37</v>
      </c>
      <c r="G19" s="5" t="s">
        <v>89</v>
      </c>
      <c r="H19" s="5" t="s">
        <v>17</v>
      </c>
      <c r="I19" s="6" t="s">
        <v>47</v>
      </c>
      <c r="J19" s="5" t="s">
        <v>27</v>
      </c>
      <c r="K19" s="4" t="s">
        <v>28</v>
      </c>
      <c r="L19" s="4" t="str">
        <f t="shared" si="0"/>
        <v>48793446-BR_MNBRL03-57559387/0001-38</v>
      </c>
      <c r="M19" s="4" t="s">
        <v>29</v>
      </c>
      <c r="P19" s="4"/>
      <c r="Q19" s="4"/>
    </row>
    <row r="20" spans="1:17">
      <c r="A20" s="5" t="s">
        <v>90</v>
      </c>
      <c r="B20" s="5">
        <v>98229992</v>
      </c>
      <c r="C20" s="5" t="s">
        <v>33</v>
      </c>
      <c r="D20" s="6" t="s">
        <v>91</v>
      </c>
      <c r="E20" s="5">
        <v>95197926</v>
      </c>
      <c r="F20" s="6" t="s">
        <v>92</v>
      </c>
      <c r="G20" s="5" t="s">
        <v>93</v>
      </c>
      <c r="H20" s="5" t="s">
        <v>17</v>
      </c>
      <c r="I20" s="6" t="s">
        <v>47</v>
      </c>
      <c r="J20" s="5" t="s">
        <v>19</v>
      </c>
      <c r="K20" s="4" t="s">
        <v>20</v>
      </c>
      <c r="L20" s="4" t="str">
        <f t="shared" si="0"/>
        <v>98229992-BR_4RBRL00-87556650/0016-82</v>
      </c>
      <c r="M20" s="4" t="s">
        <v>21</v>
      </c>
    </row>
    <row r="21" spans="1:17">
      <c r="A21" s="5" t="s">
        <v>94</v>
      </c>
      <c r="B21" s="5">
        <v>54529921</v>
      </c>
      <c r="C21" s="5" t="s">
        <v>52</v>
      </c>
      <c r="D21" s="6" t="s">
        <v>95</v>
      </c>
      <c r="E21" s="5">
        <v>94045721</v>
      </c>
      <c r="F21" s="6" t="s">
        <v>96</v>
      </c>
      <c r="G21" s="6" t="s">
        <v>16</v>
      </c>
      <c r="H21" s="5" t="s">
        <v>17</v>
      </c>
      <c r="I21" s="6" t="s">
        <v>97</v>
      </c>
      <c r="J21" s="5" t="s">
        <v>55</v>
      </c>
      <c r="K21" s="4" t="s">
        <v>56</v>
      </c>
      <c r="L21" s="4" t="str">
        <f t="shared" si="0"/>
        <v>54529921-BR_5BBRL00-43823079/0007-59</v>
      </c>
      <c r="M21" s="4" t="s">
        <v>21</v>
      </c>
    </row>
    <row r="22" spans="1:17">
      <c r="A22" s="5" t="s">
        <v>98</v>
      </c>
      <c r="B22" s="5">
        <v>54474411</v>
      </c>
      <c r="C22" s="5" t="s">
        <v>52</v>
      </c>
      <c r="D22" s="6" t="s">
        <v>99</v>
      </c>
      <c r="E22" s="5">
        <v>94045721</v>
      </c>
      <c r="F22" s="6" t="s">
        <v>100</v>
      </c>
      <c r="G22" s="5" t="s">
        <v>54</v>
      </c>
      <c r="H22" s="5" t="s">
        <v>17</v>
      </c>
      <c r="I22" s="6" t="s">
        <v>97</v>
      </c>
      <c r="J22" s="5" t="s">
        <v>55</v>
      </c>
      <c r="K22" s="4" t="s">
        <v>56</v>
      </c>
      <c r="L22" s="4" t="str">
        <f t="shared" si="0"/>
        <v>54474411-BR_5BBRL00-43823079/0019-92</v>
      </c>
      <c r="M22" s="4" t="s">
        <v>21</v>
      </c>
    </row>
    <row r="23" spans="1:17">
      <c r="A23" s="5" t="s">
        <v>101</v>
      </c>
      <c r="B23" s="5">
        <v>23811848</v>
      </c>
      <c r="C23" s="5" t="s">
        <v>33</v>
      </c>
      <c r="D23" s="6" t="s">
        <v>102</v>
      </c>
      <c r="E23" s="5">
        <v>95197926</v>
      </c>
      <c r="F23" s="6" t="s">
        <v>103</v>
      </c>
      <c r="G23" s="5" t="s">
        <v>16</v>
      </c>
      <c r="H23" s="5" t="s">
        <v>17</v>
      </c>
      <c r="I23" s="6" t="s">
        <v>104</v>
      </c>
      <c r="J23" s="5" t="s">
        <v>19</v>
      </c>
      <c r="K23" s="4" t="s">
        <v>20</v>
      </c>
      <c r="L23" s="4" t="str">
        <f t="shared" si="0"/>
        <v>23811848-BR_4RBRL00-04712500/0001-07</v>
      </c>
      <c r="M23" s="4" t="s">
        <v>21</v>
      </c>
    </row>
    <row r="24" spans="1:17">
      <c r="A24" s="5" t="s">
        <v>105</v>
      </c>
      <c r="B24" s="5">
        <v>68231368</v>
      </c>
      <c r="C24" s="5" t="s">
        <v>106</v>
      </c>
      <c r="D24" s="6" t="s">
        <v>107</v>
      </c>
      <c r="E24" s="5">
        <v>95411667</v>
      </c>
      <c r="F24" s="6" t="s">
        <v>106</v>
      </c>
      <c r="G24" s="5" t="s">
        <v>108</v>
      </c>
      <c r="H24" s="5" t="s">
        <v>17</v>
      </c>
      <c r="I24" s="6" t="s">
        <v>104</v>
      </c>
      <c r="J24" s="5" t="s">
        <v>109</v>
      </c>
      <c r="K24" s="4" t="s">
        <v>110</v>
      </c>
      <c r="L24" s="4" t="str">
        <f t="shared" si="0"/>
        <v>68231368-B903BRL00-09461647/0001-95</v>
      </c>
      <c r="M24" s="4" t="s">
        <v>29</v>
      </c>
      <c r="P24" s="4"/>
      <c r="Q24" s="4"/>
    </row>
    <row r="25" spans="1:17">
      <c r="A25" s="5" t="s">
        <v>111</v>
      </c>
      <c r="B25" s="5">
        <v>15006092</v>
      </c>
      <c r="C25" s="5" t="s">
        <v>52</v>
      </c>
      <c r="D25" s="6" t="s">
        <v>112</v>
      </c>
      <c r="E25" s="5">
        <v>94045721</v>
      </c>
      <c r="F25" s="6" t="s">
        <v>113</v>
      </c>
      <c r="G25" s="5" t="s">
        <v>114</v>
      </c>
      <c r="H25" s="5" t="s">
        <v>17</v>
      </c>
      <c r="I25" s="6" t="s">
        <v>104</v>
      </c>
      <c r="J25" s="5" t="s">
        <v>55</v>
      </c>
      <c r="K25" s="4" t="s">
        <v>56</v>
      </c>
      <c r="L25" s="4" t="str">
        <f t="shared" si="0"/>
        <v>15006092-BR_5BBRL00-11164650/0001-99</v>
      </c>
      <c r="M25" s="4" t="s">
        <v>21</v>
      </c>
    </row>
    <row r="26" spans="1:17">
      <c r="A26" s="5" t="s">
        <v>115</v>
      </c>
      <c r="B26" s="5">
        <v>93932044</v>
      </c>
      <c r="C26" s="5" t="s">
        <v>23</v>
      </c>
      <c r="D26" s="6" t="s">
        <v>116</v>
      </c>
      <c r="E26" s="5">
        <v>95411174</v>
      </c>
      <c r="F26" s="6" t="s">
        <v>87</v>
      </c>
      <c r="G26" s="5" t="s">
        <v>117</v>
      </c>
      <c r="H26" s="5" t="s">
        <v>17</v>
      </c>
      <c r="I26" s="6" t="s">
        <v>104</v>
      </c>
      <c r="J26" s="5" t="s">
        <v>27</v>
      </c>
      <c r="K26" s="4" t="s">
        <v>28</v>
      </c>
      <c r="L26" s="4" t="str">
        <f t="shared" si="0"/>
        <v>93932044-BR_MNBRL00-22265407/0001-83</v>
      </c>
      <c r="M26" s="4" t="s">
        <v>29</v>
      </c>
      <c r="P26" s="4"/>
      <c r="Q26" s="4"/>
    </row>
    <row r="27" spans="1:17">
      <c r="A27" s="5" t="s">
        <v>118</v>
      </c>
      <c r="B27" s="5">
        <v>39640663</v>
      </c>
      <c r="C27" s="5" t="s">
        <v>33</v>
      </c>
      <c r="D27" s="6" t="s">
        <v>119</v>
      </c>
      <c r="E27" s="5">
        <v>95197926</v>
      </c>
      <c r="F27" s="6" t="s">
        <v>120</v>
      </c>
      <c r="G27" s="5" t="s">
        <v>121</v>
      </c>
      <c r="H27" s="5" t="s">
        <v>17</v>
      </c>
      <c r="I27" s="6" t="s">
        <v>104</v>
      </c>
      <c r="J27" s="5" t="s">
        <v>19</v>
      </c>
      <c r="K27" s="4" t="s">
        <v>20</v>
      </c>
      <c r="L27" s="4" t="str">
        <f t="shared" si="0"/>
        <v>39640663-BR_4RBRL00-33992396/0001-50</v>
      </c>
      <c r="M27" s="4" t="s">
        <v>21</v>
      </c>
    </row>
    <row r="28" spans="1:17">
      <c r="A28" s="5" t="s">
        <v>122</v>
      </c>
      <c r="B28" s="5">
        <v>58582781</v>
      </c>
      <c r="C28" s="5" t="s">
        <v>23</v>
      </c>
      <c r="D28" s="6" t="s">
        <v>123</v>
      </c>
      <c r="E28" s="5">
        <v>95411174</v>
      </c>
      <c r="F28" s="6" t="s">
        <v>124</v>
      </c>
      <c r="G28" s="5" t="s">
        <v>16</v>
      </c>
      <c r="H28" s="5" t="s">
        <v>17</v>
      </c>
      <c r="I28" s="6" t="s">
        <v>125</v>
      </c>
      <c r="J28" s="5" t="s">
        <v>27</v>
      </c>
      <c r="K28" s="4" t="s">
        <v>28</v>
      </c>
      <c r="L28" s="4" t="str">
        <f t="shared" si="0"/>
        <v>58582781-BR_MNBRL00-08541459/0001-04</v>
      </c>
      <c r="M28" s="4" t="s">
        <v>29</v>
      </c>
      <c r="P28" s="4"/>
      <c r="Q28" s="4"/>
    </row>
    <row r="29" spans="1:17">
      <c r="A29" s="5" t="s">
        <v>126</v>
      </c>
      <c r="B29" s="5">
        <v>36575332</v>
      </c>
      <c r="C29" s="5" t="s">
        <v>33</v>
      </c>
      <c r="D29" s="6" t="s">
        <v>95</v>
      </c>
      <c r="E29" s="5">
        <v>95197926</v>
      </c>
      <c r="F29" s="6" t="s">
        <v>127</v>
      </c>
      <c r="G29" s="6" t="s">
        <v>16</v>
      </c>
      <c r="H29" s="5" t="s">
        <v>17</v>
      </c>
      <c r="I29" s="6" t="s">
        <v>125</v>
      </c>
      <c r="J29" s="5" t="s">
        <v>19</v>
      </c>
      <c r="K29" s="4" t="s">
        <v>20</v>
      </c>
      <c r="L29" s="4" t="str">
        <f t="shared" si="0"/>
        <v>36575332-BR_4RBRL00-43823079/0007-59</v>
      </c>
      <c r="M29" s="4" t="s">
        <v>29</v>
      </c>
      <c r="P29" s="4"/>
      <c r="Q29" s="4"/>
    </row>
  </sheetData>
  <autoFilter ref="A1:M29" xr:uid="{AD57F159-D664-4DE6-9A90-EC3001CAB7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1C9C-50B5-47DC-BAF7-3C6E8A45E245}">
  <dimension ref="A1:AG37"/>
  <sheetViews>
    <sheetView showGridLines="0" tabSelected="1" zoomScale="85" zoomScaleNormal="85" workbookViewId="0">
      <pane ySplit="1" topLeftCell="A2" activePane="bottomLeft" state="frozen"/>
      <selection activeCell="C1" sqref="C1"/>
      <selection pane="bottomLeft" activeCell="A38" sqref="A38:XFD39"/>
    </sheetView>
  </sheetViews>
  <sheetFormatPr defaultColWidth="8.77734375" defaultRowHeight="15"/>
  <cols>
    <col min="1" max="1" width="24.109375" style="9" customWidth="1"/>
    <col min="2" max="2" width="15" style="11" customWidth="1"/>
    <col min="3" max="3" width="14" style="11" customWidth="1"/>
    <col min="4" max="4" width="21.88671875" style="11" customWidth="1"/>
    <col min="5" max="5" width="6.77734375" style="11" customWidth="1"/>
    <col min="6" max="6" width="16.21875" style="11" customWidth="1"/>
    <col min="7" max="7" width="15.109375" style="11" customWidth="1"/>
    <col min="8" max="8" width="20" style="9" bestFit="1" customWidth="1"/>
    <col min="9" max="9" width="14.77734375" style="11" customWidth="1"/>
    <col min="10" max="10" width="14.77734375" style="9" customWidth="1"/>
    <col min="11" max="11" width="14.77734375" style="17" customWidth="1"/>
    <col min="12" max="12" width="14.77734375" style="11" customWidth="1"/>
    <col min="13" max="13" width="57.77734375" style="9" customWidth="1"/>
    <col min="14" max="14" width="13.88671875" style="9" bestFit="1" customWidth="1"/>
    <col min="15" max="15" width="13.109375" style="9" bestFit="1" customWidth="1"/>
    <col min="16" max="16" width="9.44140625" style="9" bestFit="1" customWidth="1"/>
    <col min="17" max="17" width="15.21875" style="10" customWidth="1"/>
    <col min="18" max="18" width="13.21875" style="10" customWidth="1"/>
    <col min="19" max="19" width="13.21875" style="10" bestFit="1" customWidth="1"/>
    <col min="20" max="20" width="22.44140625" style="9" hidden="1" customWidth="1"/>
    <col min="21" max="21" width="33.109375" style="9" hidden="1" customWidth="1"/>
    <col min="22" max="22" width="11" style="9" hidden="1" customWidth="1"/>
    <col min="23" max="23" width="13.33203125" style="9" hidden="1" customWidth="1"/>
    <col min="24" max="24" width="8.77734375" style="11"/>
    <col min="25" max="25" width="66.44140625" style="9" customWidth="1"/>
    <col min="26" max="26" width="49.77734375" style="9" customWidth="1"/>
    <col min="27" max="27" width="8.77734375" style="9" hidden="1" customWidth="1"/>
    <col min="28" max="28" width="14.44140625" style="9" hidden="1" customWidth="1"/>
    <col min="29" max="29" width="8.77734375" style="9" hidden="1" customWidth="1"/>
    <col min="30" max="30" width="13" style="9" customWidth="1"/>
    <col min="31" max="31" width="47.21875" style="9" customWidth="1"/>
    <col min="32" max="16384" width="8.77734375" style="9"/>
  </cols>
  <sheetData>
    <row r="1" spans="1:32" ht="15.75" thickBot="1">
      <c r="A1" s="19" t="s">
        <v>3</v>
      </c>
      <c r="B1" s="13" t="s">
        <v>128</v>
      </c>
      <c r="C1" s="13" t="s">
        <v>5</v>
      </c>
      <c r="D1" s="13" t="s">
        <v>8</v>
      </c>
      <c r="E1" s="13" t="s">
        <v>9</v>
      </c>
      <c r="F1" s="13" t="s">
        <v>129</v>
      </c>
      <c r="G1" s="20" t="s">
        <v>130</v>
      </c>
      <c r="H1" s="19" t="s">
        <v>131</v>
      </c>
      <c r="I1" s="20" t="s">
        <v>132</v>
      </c>
      <c r="J1" s="19" t="s">
        <v>133</v>
      </c>
      <c r="K1" s="21" t="s">
        <v>134</v>
      </c>
      <c r="L1" s="20" t="s">
        <v>135</v>
      </c>
      <c r="M1" s="19" t="s">
        <v>136</v>
      </c>
      <c r="N1" s="19" t="s">
        <v>137</v>
      </c>
      <c r="O1" s="19" t="s">
        <v>138</v>
      </c>
      <c r="P1" s="19" t="s">
        <v>139</v>
      </c>
      <c r="Q1" s="22" t="s">
        <v>140</v>
      </c>
      <c r="R1" s="22" t="s">
        <v>141</v>
      </c>
      <c r="S1" s="22" t="s">
        <v>142</v>
      </c>
      <c r="T1" s="9" t="s">
        <v>10</v>
      </c>
      <c r="U1" s="9" t="s">
        <v>143</v>
      </c>
      <c r="V1" s="9" t="s">
        <v>11</v>
      </c>
      <c r="W1" s="9" t="s">
        <v>144</v>
      </c>
      <c r="X1" s="13" t="s">
        <v>145</v>
      </c>
      <c r="Y1" s="12" t="s">
        <v>146</v>
      </c>
      <c r="Z1" s="16" t="s">
        <v>147</v>
      </c>
      <c r="AA1" s="9" t="s">
        <v>148</v>
      </c>
      <c r="AB1" s="9" t="s">
        <v>149</v>
      </c>
      <c r="AC1" s="9" t="s">
        <v>150</v>
      </c>
      <c r="AD1" s="16" t="s">
        <v>151</v>
      </c>
      <c r="AE1" s="16" t="s">
        <v>152</v>
      </c>
    </row>
    <row r="2" spans="1:32" ht="17.25" thickTop="1" thickBot="1">
      <c r="A2" s="25" t="s">
        <v>83</v>
      </c>
      <c r="B2" s="15">
        <v>95197926</v>
      </c>
      <c r="C2" s="15" t="s">
        <v>84</v>
      </c>
      <c r="D2" s="15" t="s">
        <v>47</v>
      </c>
      <c r="E2" s="24" t="s">
        <v>19</v>
      </c>
      <c r="F2" s="24" t="s">
        <v>153</v>
      </c>
      <c r="G2" s="26" t="s">
        <v>154</v>
      </c>
      <c r="H2" s="25" t="s">
        <v>155</v>
      </c>
      <c r="I2" s="26" t="s">
        <v>19</v>
      </c>
      <c r="J2" s="26" t="s">
        <v>154</v>
      </c>
      <c r="K2" s="26" t="s">
        <v>156</v>
      </c>
      <c r="L2" s="26" t="s">
        <v>157</v>
      </c>
      <c r="M2" s="25" t="s">
        <v>158</v>
      </c>
      <c r="N2" s="25" t="s">
        <v>159</v>
      </c>
      <c r="O2" s="25" t="s">
        <v>160</v>
      </c>
      <c r="P2" s="25" t="s">
        <v>161</v>
      </c>
      <c r="Q2" s="27">
        <v>1</v>
      </c>
      <c r="R2" s="27">
        <v>100000</v>
      </c>
      <c r="S2" s="27">
        <v>100000</v>
      </c>
      <c r="T2" s="9" t="s">
        <v>20</v>
      </c>
      <c r="U2" s="9" t="s">
        <v>162</v>
      </c>
      <c r="V2" s="9" t="s">
        <v>21</v>
      </c>
      <c r="W2" s="7" t="s">
        <v>163</v>
      </c>
      <c r="X2" s="15" t="s">
        <v>164</v>
      </c>
      <c r="Y2" s="14" t="s">
        <v>165</v>
      </c>
      <c r="Z2" s="15" t="s">
        <v>166</v>
      </c>
      <c r="AA2" s="33">
        <v>1</v>
      </c>
      <c r="AB2" s="33" t="s">
        <v>167</v>
      </c>
      <c r="AC2" s="33" t="s">
        <v>168</v>
      </c>
      <c r="AD2" s="15" t="s">
        <v>169</v>
      </c>
      <c r="AE2" s="34"/>
    </row>
    <row r="3" spans="1:32" ht="15.75">
      <c r="A3" s="25" t="s">
        <v>69</v>
      </c>
      <c r="B3" s="15">
        <v>95197926</v>
      </c>
      <c r="C3" s="15" t="s">
        <v>70</v>
      </c>
      <c r="D3" s="15" t="s">
        <v>47</v>
      </c>
      <c r="E3" s="24" t="s">
        <v>19</v>
      </c>
      <c r="F3" s="24" t="s">
        <v>170</v>
      </c>
      <c r="G3" s="26" t="s">
        <v>171</v>
      </c>
      <c r="H3" s="25" t="s">
        <v>172</v>
      </c>
      <c r="I3" s="26" t="s">
        <v>19</v>
      </c>
      <c r="J3" s="26" t="s">
        <v>171</v>
      </c>
      <c r="K3" s="26" t="s">
        <v>173</v>
      </c>
      <c r="L3" s="26" t="s">
        <v>174</v>
      </c>
      <c r="M3" s="25" t="s">
        <v>175</v>
      </c>
      <c r="N3" s="25" t="s">
        <v>176</v>
      </c>
      <c r="O3" s="25" t="s">
        <v>160</v>
      </c>
      <c r="P3" s="25" t="s">
        <v>161</v>
      </c>
      <c r="Q3" s="27">
        <v>11200</v>
      </c>
      <c r="R3" s="27">
        <v>1</v>
      </c>
      <c r="S3" s="27">
        <v>11200</v>
      </c>
      <c r="T3" s="9" t="s">
        <v>20</v>
      </c>
      <c r="U3" s="9" t="s">
        <v>177</v>
      </c>
      <c r="V3" s="9" t="s">
        <v>21</v>
      </c>
      <c r="W3" s="7" t="s">
        <v>178</v>
      </c>
      <c r="X3" s="15" t="s">
        <v>164</v>
      </c>
      <c r="Y3" s="14" t="s">
        <v>179</v>
      </c>
      <c r="Z3" s="15" t="s">
        <v>180</v>
      </c>
      <c r="AA3" s="33">
        <v>1</v>
      </c>
      <c r="AB3" s="33" t="s">
        <v>181</v>
      </c>
      <c r="AC3" s="33" t="s">
        <v>168</v>
      </c>
      <c r="AD3" s="15" t="s">
        <v>182</v>
      </c>
      <c r="AE3" s="14"/>
    </row>
    <row r="4" spans="1:32" ht="17.25" thickTop="1" thickBot="1">
      <c r="A4" s="25" t="s">
        <v>49</v>
      </c>
      <c r="B4" s="15">
        <v>95197926</v>
      </c>
      <c r="C4" s="14" t="s">
        <v>50</v>
      </c>
      <c r="D4" s="15" t="s">
        <v>47</v>
      </c>
      <c r="E4" s="24" t="s">
        <v>19</v>
      </c>
      <c r="F4" s="24" t="s">
        <v>183</v>
      </c>
      <c r="G4" s="26" t="s">
        <v>184</v>
      </c>
      <c r="H4" s="25" t="s">
        <v>185</v>
      </c>
      <c r="I4" s="26" t="s">
        <v>19</v>
      </c>
      <c r="J4" s="26" t="s">
        <v>184</v>
      </c>
      <c r="K4" s="26" t="s">
        <v>156</v>
      </c>
      <c r="L4" s="26" t="s">
        <v>186</v>
      </c>
      <c r="M4" s="25" t="s">
        <v>187</v>
      </c>
      <c r="N4" s="25" t="s">
        <v>159</v>
      </c>
      <c r="O4" s="25" t="s">
        <v>188</v>
      </c>
      <c r="P4" s="25" t="s">
        <v>161</v>
      </c>
      <c r="Q4" s="27">
        <v>1</v>
      </c>
      <c r="R4" s="27">
        <v>50000</v>
      </c>
      <c r="S4" s="27">
        <v>50000</v>
      </c>
      <c r="T4" s="11" t="s">
        <v>20</v>
      </c>
      <c r="U4" s="9" t="s">
        <v>189</v>
      </c>
      <c r="V4" s="9" t="s">
        <v>21</v>
      </c>
      <c r="W4" s="7" t="s">
        <v>190</v>
      </c>
      <c r="X4" s="15" t="s">
        <v>164</v>
      </c>
      <c r="Y4" s="14" t="s">
        <v>191</v>
      </c>
      <c r="Z4" s="15" t="s">
        <v>192</v>
      </c>
      <c r="AA4" s="33">
        <v>1</v>
      </c>
      <c r="AB4" s="33" t="s">
        <v>193</v>
      </c>
      <c r="AC4" s="33" t="s">
        <v>168</v>
      </c>
      <c r="AD4" s="15" t="s">
        <v>194</v>
      </c>
      <c r="AE4" s="14"/>
    </row>
    <row r="5" spans="1:32" ht="17.25" thickTop="1" thickBot="1">
      <c r="A5" s="25" t="s">
        <v>76</v>
      </c>
      <c r="B5" s="15">
        <v>95197926</v>
      </c>
      <c r="C5" s="14" t="s">
        <v>77</v>
      </c>
      <c r="D5" s="15" t="s">
        <v>47</v>
      </c>
      <c r="E5" s="24" t="s">
        <v>19</v>
      </c>
      <c r="F5" s="24" t="s">
        <v>195</v>
      </c>
      <c r="G5" s="26" t="s">
        <v>196</v>
      </c>
      <c r="H5" s="25" t="s">
        <v>197</v>
      </c>
      <c r="I5" s="26" t="s">
        <v>19</v>
      </c>
      <c r="J5" s="26" t="s">
        <v>196</v>
      </c>
      <c r="K5" s="26" t="s">
        <v>198</v>
      </c>
      <c r="L5" s="26" t="s">
        <v>199</v>
      </c>
      <c r="M5" s="25" t="s">
        <v>200</v>
      </c>
      <c r="N5" s="25" t="s">
        <v>159</v>
      </c>
      <c r="O5" s="25" t="s">
        <v>160</v>
      </c>
      <c r="P5" s="25" t="s">
        <v>161</v>
      </c>
      <c r="Q5" s="27">
        <v>1</v>
      </c>
      <c r="R5" s="27">
        <v>200000</v>
      </c>
      <c r="S5" s="27">
        <v>200000</v>
      </c>
      <c r="T5" s="11" t="s">
        <v>20</v>
      </c>
      <c r="U5" s="9" t="s">
        <v>201</v>
      </c>
      <c r="V5" s="9" t="s">
        <v>21</v>
      </c>
      <c r="W5" s="7" t="s">
        <v>202</v>
      </c>
      <c r="X5" s="15" t="s">
        <v>164</v>
      </c>
      <c r="Y5" s="14" t="s">
        <v>203</v>
      </c>
      <c r="Z5" s="15" t="s">
        <v>204</v>
      </c>
      <c r="AA5" s="33">
        <v>1</v>
      </c>
      <c r="AB5" s="33" t="s">
        <v>205</v>
      </c>
      <c r="AC5" s="33" t="s">
        <v>168</v>
      </c>
      <c r="AD5" s="15" t="s">
        <v>206</v>
      </c>
      <c r="AE5" s="14"/>
    </row>
    <row r="6" spans="1:32" ht="17.25" thickTop="1" thickBot="1">
      <c r="A6" s="25" t="s">
        <v>76</v>
      </c>
      <c r="B6" s="15">
        <v>95197926</v>
      </c>
      <c r="C6" s="14" t="s">
        <v>77</v>
      </c>
      <c r="D6" s="15" t="s">
        <v>47</v>
      </c>
      <c r="E6" s="24" t="s">
        <v>19</v>
      </c>
      <c r="F6" s="24" t="s">
        <v>207</v>
      </c>
      <c r="G6" s="26" t="s">
        <v>208</v>
      </c>
      <c r="H6" s="25" t="s">
        <v>209</v>
      </c>
      <c r="I6" s="26" t="s">
        <v>19</v>
      </c>
      <c r="J6" s="26" t="s">
        <v>208</v>
      </c>
      <c r="K6" s="26" t="s">
        <v>198</v>
      </c>
      <c r="L6" s="26" t="s">
        <v>210</v>
      </c>
      <c r="M6" s="25" t="s">
        <v>211</v>
      </c>
      <c r="N6" s="25" t="s">
        <v>159</v>
      </c>
      <c r="O6" s="25" t="s">
        <v>160</v>
      </c>
      <c r="P6" s="25" t="s">
        <v>161</v>
      </c>
      <c r="Q6" s="27">
        <v>1</v>
      </c>
      <c r="R6" s="27">
        <v>250000</v>
      </c>
      <c r="S6" s="27">
        <v>250000</v>
      </c>
      <c r="T6" s="11"/>
      <c r="U6" s="9" t="s">
        <v>201</v>
      </c>
      <c r="V6" s="9" t="s">
        <v>21</v>
      </c>
      <c r="W6" s="7" t="s">
        <v>212</v>
      </c>
      <c r="X6" s="15" t="s">
        <v>164</v>
      </c>
      <c r="Y6" s="14" t="s">
        <v>213</v>
      </c>
      <c r="Z6" s="15" t="s">
        <v>214</v>
      </c>
      <c r="AA6" s="33">
        <v>1</v>
      </c>
      <c r="AB6" s="33" t="s">
        <v>205</v>
      </c>
      <c r="AC6" s="33" t="s">
        <v>168</v>
      </c>
      <c r="AD6" s="15" t="s">
        <v>215</v>
      </c>
      <c r="AE6" s="14"/>
    </row>
    <row r="7" spans="1:32" ht="17.25" thickTop="1" thickBot="1">
      <c r="A7" s="25" t="s">
        <v>14</v>
      </c>
      <c r="B7" s="15">
        <v>95197926</v>
      </c>
      <c r="C7" s="15" t="s">
        <v>15</v>
      </c>
      <c r="D7" s="15" t="s">
        <v>18</v>
      </c>
      <c r="E7" s="24" t="s">
        <v>19</v>
      </c>
      <c r="F7" s="24" t="s">
        <v>216</v>
      </c>
      <c r="G7" s="26" t="s">
        <v>217</v>
      </c>
      <c r="H7" s="25" t="s">
        <v>218</v>
      </c>
      <c r="I7" s="26" t="s">
        <v>19</v>
      </c>
      <c r="J7" s="26" t="s">
        <v>217</v>
      </c>
      <c r="K7" s="26" t="s">
        <v>156</v>
      </c>
      <c r="L7" s="26" t="s">
        <v>219</v>
      </c>
      <c r="M7" s="25" t="s">
        <v>220</v>
      </c>
      <c r="N7" s="25" t="s">
        <v>176</v>
      </c>
      <c r="O7" s="25" t="s">
        <v>160</v>
      </c>
      <c r="P7" s="25" t="s">
        <v>161</v>
      </c>
      <c r="Q7" s="27">
        <v>9</v>
      </c>
      <c r="R7" s="27">
        <v>3000</v>
      </c>
      <c r="S7" s="27">
        <v>27000</v>
      </c>
      <c r="T7" s="9" t="s">
        <v>20</v>
      </c>
      <c r="U7" s="9" t="s">
        <v>221</v>
      </c>
      <c r="V7" s="9" t="s">
        <v>21</v>
      </c>
      <c r="W7" s="7" t="s">
        <v>222</v>
      </c>
      <c r="X7" s="15" t="s">
        <v>164</v>
      </c>
      <c r="Y7" s="14" t="s">
        <v>223</v>
      </c>
      <c r="Z7" s="15" t="s">
        <v>224</v>
      </c>
      <c r="AA7" s="33">
        <v>1</v>
      </c>
      <c r="AB7" s="33" t="s">
        <v>225</v>
      </c>
      <c r="AC7" s="33" t="s">
        <v>168</v>
      </c>
      <c r="AD7" s="15" t="s">
        <v>226</v>
      </c>
      <c r="AE7" s="14"/>
    </row>
    <row r="8" spans="1:32" ht="17.25" thickTop="1" thickBot="1">
      <c r="A8" s="25" t="s">
        <v>49</v>
      </c>
      <c r="B8" s="15">
        <v>95197926</v>
      </c>
      <c r="C8" s="14" t="s">
        <v>50</v>
      </c>
      <c r="D8" s="15" t="s">
        <v>47</v>
      </c>
      <c r="E8" s="24" t="s">
        <v>19</v>
      </c>
      <c r="F8" s="24" t="s">
        <v>227</v>
      </c>
      <c r="G8" s="26" t="s">
        <v>228</v>
      </c>
      <c r="H8" s="25" t="s">
        <v>229</v>
      </c>
      <c r="I8" s="26" t="s">
        <v>19</v>
      </c>
      <c r="J8" s="26" t="s">
        <v>228</v>
      </c>
      <c r="K8" s="26" t="s">
        <v>198</v>
      </c>
      <c r="L8" s="26" t="s">
        <v>230</v>
      </c>
      <c r="M8" s="25" t="s">
        <v>231</v>
      </c>
      <c r="N8" s="25" t="s">
        <v>159</v>
      </c>
      <c r="O8" s="25" t="s">
        <v>160</v>
      </c>
      <c r="P8" s="25" t="s">
        <v>161</v>
      </c>
      <c r="Q8" s="27">
        <v>1</v>
      </c>
      <c r="R8" s="27">
        <v>3200000</v>
      </c>
      <c r="S8" s="27">
        <v>3200000</v>
      </c>
      <c r="T8" s="11"/>
      <c r="U8" s="9" t="s">
        <v>189</v>
      </c>
      <c r="V8" s="9" t="s">
        <v>21</v>
      </c>
      <c r="W8" s="7" t="s">
        <v>232</v>
      </c>
      <c r="X8" s="15" t="s">
        <v>164</v>
      </c>
      <c r="Y8" s="14" t="s">
        <v>233</v>
      </c>
      <c r="Z8" s="15" t="s">
        <v>234</v>
      </c>
      <c r="AA8" s="33">
        <v>1</v>
      </c>
      <c r="AB8" s="33" t="s">
        <v>193</v>
      </c>
      <c r="AC8" s="33" t="s">
        <v>168</v>
      </c>
      <c r="AD8" s="15" t="s">
        <v>235</v>
      </c>
      <c r="AE8" s="14"/>
    </row>
    <row r="9" spans="1:32" ht="17.25" thickTop="1" thickBot="1">
      <c r="A9" s="25" t="s">
        <v>58</v>
      </c>
      <c r="B9" s="15">
        <v>95197926</v>
      </c>
      <c r="C9" s="14" t="s">
        <v>59</v>
      </c>
      <c r="D9" s="15" t="s">
        <v>47</v>
      </c>
      <c r="E9" s="24" t="s">
        <v>19</v>
      </c>
      <c r="F9" s="24" t="s">
        <v>236</v>
      </c>
      <c r="G9" s="26" t="s">
        <v>237</v>
      </c>
      <c r="H9" s="25" t="s">
        <v>238</v>
      </c>
      <c r="I9" s="26" t="s">
        <v>19</v>
      </c>
      <c r="J9" s="26" t="s">
        <v>237</v>
      </c>
      <c r="K9" s="26" t="s">
        <v>198</v>
      </c>
      <c r="L9" s="26">
        <v>60110</v>
      </c>
      <c r="M9" s="25" t="s">
        <v>239</v>
      </c>
      <c r="N9" s="25" t="s">
        <v>159</v>
      </c>
      <c r="O9" s="25" t="s">
        <v>160</v>
      </c>
      <c r="P9" s="25" t="s">
        <v>161</v>
      </c>
      <c r="Q9" s="27">
        <v>1</v>
      </c>
      <c r="R9" s="27">
        <v>1646926.96</v>
      </c>
      <c r="S9" s="27">
        <v>1646926.96</v>
      </c>
      <c r="T9" s="11"/>
      <c r="U9" s="9" t="s">
        <v>240</v>
      </c>
      <c r="W9" s="7"/>
      <c r="X9" s="15" t="s">
        <v>164</v>
      </c>
      <c r="Y9" s="14" t="s">
        <v>241</v>
      </c>
      <c r="Z9" s="15" t="s">
        <v>242</v>
      </c>
      <c r="AA9" s="33">
        <v>1</v>
      </c>
      <c r="AB9" s="33" t="s">
        <v>243</v>
      </c>
      <c r="AC9" s="33" t="s">
        <v>168</v>
      </c>
      <c r="AD9" s="15" t="s">
        <v>244</v>
      </c>
      <c r="AE9" s="14"/>
    </row>
    <row r="10" spans="1:32" ht="17.25" thickTop="1" thickBot="1">
      <c r="A10" s="25" t="s">
        <v>102</v>
      </c>
      <c r="B10" s="15">
        <v>95197926</v>
      </c>
      <c r="C10" s="14" t="s">
        <v>103</v>
      </c>
      <c r="D10" s="15" t="s">
        <v>104</v>
      </c>
      <c r="E10" s="24" t="s">
        <v>19</v>
      </c>
      <c r="F10" s="24" t="s">
        <v>245</v>
      </c>
      <c r="G10" s="26">
        <v>2316</v>
      </c>
      <c r="H10" s="25" t="s">
        <v>246</v>
      </c>
      <c r="I10" s="26" t="s">
        <v>19</v>
      </c>
      <c r="J10" s="26" t="s">
        <v>247</v>
      </c>
      <c r="K10" s="26" t="s">
        <v>248</v>
      </c>
      <c r="L10" s="26" t="s">
        <v>249</v>
      </c>
      <c r="M10" s="25" t="s">
        <v>250</v>
      </c>
      <c r="N10" s="25" t="s">
        <v>159</v>
      </c>
      <c r="O10" s="25" t="s">
        <v>160</v>
      </c>
      <c r="P10" s="25" t="s">
        <v>161</v>
      </c>
      <c r="Q10" s="27">
        <v>1</v>
      </c>
      <c r="R10" s="27">
        <v>100000</v>
      </c>
      <c r="S10" s="27">
        <v>100000</v>
      </c>
      <c r="T10" s="11" t="s">
        <v>20</v>
      </c>
      <c r="U10" s="9" t="s">
        <v>251</v>
      </c>
      <c r="V10" s="9" t="s">
        <v>21</v>
      </c>
      <c r="W10" s="7" t="s">
        <v>252</v>
      </c>
      <c r="X10" s="15" t="s">
        <v>164</v>
      </c>
      <c r="Y10" s="14" t="s">
        <v>253</v>
      </c>
      <c r="Z10" s="15" t="s">
        <v>254</v>
      </c>
      <c r="AA10" s="33">
        <v>3</v>
      </c>
      <c r="AB10" s="33" t="s">
        <v>255</v>
      </c>
      <c r="AC10" s="33" t="s">
        <v>168</v>
      </c>
      <c r="AD10" s="15" t="s">
        <v>256</v>
      </c>
      <c r="AE10" s="14"/>
    </row>
    <row r="11" spans="1:32" ht="17.25" thickTop="1" thickBot="1">
      <c r="A11" s="25" t="s">
        <v>95</v>
      </c>
      <c r="B11" s="15">
        <v>94045721</v>
      </c>
      <c r="C11" s="15" t="s">
        <v>96</v>
      </c>
      <c r="D11" s="15" t="s">
        <v>97</v>
      </c>
      <c r="E11" s="24" t="s">
        <v>55</v>
      </c>
      <c r="F11" s="24" t="s">
        <v>257</v>
      </c>
      <c r="G11" s="26">
        <v>9087</v>
      </c>
      <c r="H11" s="25" t="s">
        <v>258</v>
      </c>
      <c r="I11" s="26" t="s">
        <v>55</v>
      </c>
      <c r="J11" s="26" t="s">
        <v>259</v>
      </c>
      <c r="K11" s="26" t="s">
        <v>260</v>
      </c>
      <c r="L11" s="26" t="s">
        <v>261</v>
      </c>
      <c r="M11" s="25" t="s">
        <v>262</v>
      </c>
      <c r="N11" s="25" t="s">
        <v>159</v>
      </c>
      <c r="O11" s="25" t="s">
        <v>160</v>
      </c>
      <c r="P11" s="25" t="s">
        <v>161</v>
      </c>
      <c r="Q11" s="27">
        <v>405706.39</v>
      </c>
      <c r="R11" s="27">
        <v>1</v>
      </c>
      <c r="S11" s="27">
        <v>405706.39</v>
      </c>
      <c r="T11" s="9" t="s">
        <v>56</v>
      </c>
      <c r="U11" s="9" t="s">
        <v>263</v>
      </c>
      <c r="V11" s="9" t="s">
        <v>21</v>
      </c>
      <c r="W11" s="7" t="s">
        <v>264</v>
      </c>
      <c r="X11" s="15" t="s">
        <v>164</v>
      </c>
      <c r="Y11" s="14" t="s">
        <v>265</v>
      </c>
      <c r="Z11" s="15" t="s">
        <v>266</v>
      </c>
      <c r="AA11" s="33">
        <v>1</v>
      </c>
      <c r="AB11" s="33" t="s">
        <v>255</v>
      </c>
      <c r="AC11" s="33" t="s">
        <v>168</v>
      </c>
      <c r="AD11" s="15" t="s">
        <v>267</v>
      </c>
      <c r="AE11" s="14"/>
    </row>
    <row r="12" spans="1:32" ht="17.25" thickTop="1" thickBot="1">
      <c r="A12" s="25" t="s">
        <v>73</v>
      </c>
      <c r="B12" s="15">
        <v>94045721</v>
      </c>
      <c r="C12" s="15" t="s">
        <v>74</v>
      </c>
      <c r="D12" s="15" t="s">
        <v>47</v>
      </c>
      <c r="E12" s="24" t="s">
        <v>55</v>
      </c>
      <c r="F12" s="24" t="s">
        <v>268</v>
      </c>
      <c r="G12" s="26">
        <v>8207</v>
      </c>
      <c r="H12" s="25" t="s">
        <v>269</v>
      </c>
      <c r="I12" s="26" t="s">
        <v>55</v>
      </c>
      <c r="J12" s="26" t="s">
        <v>270</v>
      </c>
      <c r="K12" s="26" t="s">
        <v>271</v>
      </c>
      <c r="L12" s="26" t="s">
        <v>272</v>
      </c>
      <c r="M12" s="25" t="s">
        <v>273</v>
      </c>
      <c r="N12" s="25" t="s">
        <v>159</v>
      </c>
      <c r="O12" s="25" t="s">
        <v>188</v>
      </c>
      <c r="P12" s="25" t="s">
        <v>161</v>
      </c>
      <c r="Q12" s="27">
        <v>752209.92000000004</v>
      </c>
      <c r="R12" s="27">
        <v>1</v>
      </c>
      <c r="S12" s="27">
        <v>752209.92000000004</v>
      </c>
      <c r="T12" s="9" t="s">
        <v>56</v>
      </c>
      <c r="U12" s="9" t="s">
        <v>274</v>
      </c>
      <c r="V12" s="9" t="s">
        <v>21</v>
      </c>
      <c r="W12" s="7" t="s">
        <v>275</v>
      </c>
      <c r="X12" s="15" t="s">
        <v>164</v>
      </c>
      <c r="Y12" s="14" t="s">
        <v>276</v>
      </c>
      <c r="Z12" s="15" t="s">
        <v>277</v>
      </c>
      <c r="AA12" s="33">
        <v>1</v>
      </c>
      <c r="AB12" s="33" t="s">
        <v>278</v>
      </c>
      <c r="AC12" s="33" t="s">
        <v>168</v>
      </c>
      <c r="AD12" s="15" t="s">
        <v>279</v>
      </c>
      <c r="AE12" s="34"/>
    </row>
    <row r="13" spans="1:32" ht="17.25" thickTop="1" thickBot="1">
      <c r="A13" s="25" t="s">
        <v>112</v>
      </c>
      <c r="B13" s="15">
        <v>94045721</v>
      </c>
      <c r="C13" s="15" t="s">
        <v>113</v>
      </c>
      <c r="D13" s="15" t="s">
        <v>104</v>
      </c>
      <c r="E13" s="24" t="s">
        <v>55</v>
      </c>
      <c r="F13" s="24" t="s">
        <v>280</v>
      </c>
      <c r="G13" s="26" t="s">
        <v>281</v>
      </c>
      <c r="H13" s="25" t="s">
        <v>282</v>
      </c>
      <c r="I13" s="26" t="s">
        <v>55</v>
      </c>
      <c r="J13" s="26" t="s">
        <v>281</v>
      </c>
      <c r="K13" s="26" t="s">
        <v>283</v>
      </c>
      <c r="L13" s="26" t="s">
        <v>284</v>
      </c>
      <c r="M13" s="25" t="s">
        <v>273</v>
      </c>
      <c r="N13" s="25" t="s">
        <v>159</v>
      </c>
      <c r="O13" s="25" t="s">
        <v>188</v>
      </c>
      <c r="P13" s="25" t="s">
        <v>161</v>
      </c>
      <c r="Q13" s="27">
        <v>14400</v>
      </c>
      <c r="R13" s="27">
        <v>1</v>
      </c>
      <c r="S13" s="27">
        <v>14400</v>
      </c>
      <c r="T13" s="9" t="s">
        <v>56</v>
      </c>
      <c r="U13" s="9" t="s">
        <v>285</v>
      </c>
      <c r="V13" s="9" t="s">
        <v>21</v>
      </c>
      <c r="W13" s="7" t="s">
        <v>286</v>
      </c>
      <c r="X13" s="15" t="s">
        <v>164</v>
      </c>
      <c r="Y13" s="14" t="s">
        <v>287</v>
      </c>
      <c r="Z13" s="15" t="s">
        <v>288</v>
      </c>
      <c r="AA13" s="33">
        <v>1</v>
      </c>
      <c r="AB13" s="33" t="s">
        <v>289</v>
      </c>
      <c r="AC13" s="33" t="s">
        <v>168</v>
      </c>
      <c r="AD13" s="15" t="s">
        <v>290</v>
      </c>
      <c r="AE13" s="36" t="s">
        <v>291</v>
      </c>
      <c r="AF13" s="9" t="s">
        <v>290</v>
      </c>
    </row>
    <row r="14" spans="1:32" ht="17.25" thickTop="1" thickBot="1">
      <c r="A14" s="28" t="s">
        <v>91</v>
      </c>
      <c r="B14" s="15">
        <v>95197926</v>
      </c>
      <c r="C14" s="14" t="s">
        <v>92</v>
      </c>
      <c r="D14" s="15" t="s">
        <v>47</v>
      </c>
      <c r="E14" s="24" t="s">
        <v>19</v>
      </c>
      <c r="F14" s="24" t="s">
        <v>292</v>
      </c>
      <c r="G14" s="26" t="s">
        <v>293</v>
      </c>
      <c r="H14" s="28" t="s">
        <v>294</v>
      </c>
      <c r="I14" s="29" t="s">
        <v>19</v>
      </c>
      <c r="J14" s="29" t="s">
        <v>293</v>
      </c>
      <c r="K14" s="30" t="s">
        <v>156</v>
      </c>
      <c r="L14" s="29" t="s">
        <v>261</v>
      </c>
      <c r="M14" s="28" t="s">
        <v>295</v>
      </c>
      <c r="N14" s="28" t="s">
        <v>159</v>
      </c>
      <c r="O14" s="28" t="s">
        <v>296</v>
      </c>
      <c r="P14" s="28" t="s">
        <v>161</v>
      </c>
      <c r="Q14" s="31">
        <v>1</v>
      </c>
      <c r="R14" s="31">
        <v>3000000</v>
      </c>
      <c r="S14" s="31">
        <v>3000000</v>
      </c>
      <c r="T14" s="11" t="s">
        <v>20</v>
      </c>
      <c r="U14" s="9" t="s">
        <v>297</v>
      </c>
      <c r="V14" s="9" t="s">
        <v>21</v>
      </c>
      <c r="W14" s="7" t="s">
        <v>298</v>
      </c>
      <c r="X14" s="15" t="s">
        <v>164</v>
      </c>
      <c r="Y14" s="14" t="s">
        <v>299</v>
      </c>
      <c r="Z14" s="15" t="s">
        <v>300</v>
      </c>
      <c r="AA14" s="33">
        <v>1</v>
      </c>
      <c r="AB14" s="33" t="s">
        <v>301</v>
      </c>
      <c r="AC14" s="33" t="s">
        <v>168</v>
      </c>
      <c r="AD14" s="15" t="s">
        <v>302</v>
      </c>
      <c r="AE14" s="14"/>
    </row>
    <row r="15" spans="1:32" ht="17.25" thickTop="1" thickBot="1">
      <c r="A15" s="25" t="s">
        <v>46</v>
      </c>
      <c r="B15" s="15">
        <v>95197926</v>
      </c>
      <c r="C15" s="15" t="s">
        <v>34</v>
      </c>
      <c r="D15" s="15" t="s">
        <v>47</v>
      </c>
      <c r="E15" s="24" t="s">
        <v>19</v>
      </c>
      <c r="F15" s="24" t="s">
        <v>170</v>
      </c>
      <c r="G15" s="26" t="s">
        <v>171</v>
      </c>
      <c r="H15" s="25" t="s">
        <v>172</v>
      </c>
      <c r="I15" s="26" t="s">
        <v>19</v>
      </c>
      <c r="J15" s="26" t="s">
        <v>171</v>
      </c>
      <c r="K15" s="26" t="s">
        <v>198</v>
      </c>
      <c r="L15" s="26" t="s">
        <v>230</v>
      </c>
      <c r="M15" s="25" t="s">
        <v>303</v>
      </c>
      <c r="N15" s="25" t="s">
        <v>159</v>
      </c>
      <c r="O15" s="25" t="s">
        <v>160</v>
      </c>
      <c r="P15" s="25" t="s">
        <v>161</v>
      </c>
      <c r="Q15" s="27">
        <v>1</v>
      </c>
      <c r="R15" s="27">
        <v>13763954.140000001</v>
      </c>
      <c r="S15" s="27">
        <v>13763954.140000001</v>
      </c>
      <c r="T15" s="9" t="s">
        <v>20</v>
      </c>
      <c r="U15" s="9" t="s">
        <v>304</v>
      </c>
      <c r="V15" s="9" t="s">
        <v>21</v>
      </c>
      <c r="W15" s="7" t="s">
        <v>305</v>
      </c>
      <c r="X15" s="15" t="s">
        <v>306</v>
      </c>
      <c r="Y15" s="14" t="s">
        <v>307</v>
      </c>
      <c r="Z15" s="15" t="s">
        <v>308</v>
      </c>
      <c r="AA15" s="33">
        <v>3</v>
      </c>
      <c r="AB15" s="33" t="s">
        <v>193</v>
      </c>
      <c r="AC15" s="33" t="s">
        <v>168</v>
      </c>
      <c r="AD15" s="15" t="s">
        <v>309</v>
      </c>
      <c r="AE15" s="36"/>
    </row>
    <row r="16" spans="1:32" ht="17.25" thickTop="1" thickBot="1">
      <c r="A16" s="28" t="s">
        <v>53</v>
      </c>
      <c r="B16" s="15">
        <v>94045721</v>
      </c>
      <c r="C16" s="14" t="s">
        <v>52</v>
      </c>
      <c r="D16" s="15" t="s">
        <v>47</v>
      </c>
      <c r="E16" s="24" t="s">
        <v>55</v>
      </c>
      <c r="F16" s="24" t="s">
        <v>310</v>
      </c>
      <c r="G16" s="26" t="s">
        <v>311</v>
      </c>
      <c r="H16" s="28" t="s">
        <v>312</v>
      </c>
      <c r="I16" s="29" t="s">
        <v>55</v>
      </c>
      <c r="J16" s="29" t="s">
        <v>311</v>
      </c>
      <c r="K16" s="30" t="s">
        <v>271</v>
      </c>
      <c r="L16" s="29" t="s">
        <v>313</v>
      </c>
      <c r="M16" s="28" t="s">
        <v>273</v>
      </c>
      <c r="N16" s="28" t="s">
        <v>159</v>
      </c>
      <c r="O16" s="28" t="s">
        <v>188</v>
      </c>
      <c r="P16" s="28" t="s">
        <v>161</v>
      </c>
      <c r="Q16" s="31">
        <v>3273.68</v>
      </c>
      <c r="R16" s="37">
        <v>12</v>
      </c>
      <c r="S16" s="31">
        <v>39284.159999999996</v>
      </c>
      <c r="T16" s="11" t="s">
        <v>56</v>
      </c>
      <c r="U16" s="9" t="s">
        <v>314</v>
      </c>
      <c r="V16" s="9" t="s">
        <v>21</v>
      </c>
      <c r="W16" s="7" t="s">
        <v>315</v>
      </c>
      <c r="X16" s="15" t="s">
        <v>306</v>
      </c>
      <c r="Y16" s="14" t="s">
        <v>316</v>
      </c>
      <c r="Z16" s="15" t="s">
        <v>317</v>
      </c>
      <c r="AA16" s="33">
        <v>3</v>
      </c>
      <c r="AB16" s="33" t="s">
        <v>301</v>
      </c>
      <c r="AC16" s="33" t="s">
        <v>168</v>
      </c>
      <c r="AD16" s="15" t="s">
        <v>318</v>
      </c>
      <c r="AE16" s="36" t="s">
        <v>319</v>
      </c>
    </row>
    <row r="17" spans="1:33" ht="17.25" thickTop="1" thickBot="1">
      <c r="A17" s="25" t="s">
        <v>102</v>
      </c>
      <c r="B17" s="15">
        <v>95197926</v>
      </c>
      <c r="C17" s="14" t="s">
        <v>103</v>
      </c>
      <c r="D17" s="15" t="s">
        <v>104</v>
      </c>
      <c r="E17" s="24" t="s">
        <v>19</v>
      </c>
      <c r="F17" s="24" t="s">
        <v>245</v>
      </c>
      <c r="G17" s="26">
        <v>2316</v>
      </c>
      <c r="H17" s="25" t="s">
        <v>246</v>
      </c>
      <c r="I17" s="26" t="s">
        <v>19</v>
      </c>
      <c r="J17" s="26" t="s">
        <v>247</v>
      </c>
      <c r="K17" s="26" t="s">
        <v>248</v>
      </c>
      <c r="L17" s="26" t="s">
        <v>249</v>
      </c>
      <c r="M17" s="25" t="s">
        <v>320</v>
      </c>
      <c r="N17" s="25" t="s">
        <v>159</v>
      </c>
      <c r="O17" s="25" t="s">
        <v>160</v>
      </c>
      <c r="P17" s="25" t="s">
        <v>161</v>
      </c>
      <c r="Q17" s="27">
        <v>1</v>
      </c>
      <c r="R17" s="27">
        <v>100000</v>
      </c>
      <c r="S17" s="27">
        <v>100000</v>
      </c>
      <c r="T17" s="11"/>
      <c r="U17" s="9" t="s">
        <v>251</v>
      </c>
      <c r="V17" s="9" t="s">
        <v>21</v>
      </c>
      <c r="W17" s="7" t="s">
        <v>252</v>
      </c>
      <c r="X17" s="15" t="s">
        <v>306</v>
      </c>
      <c r="Y17" s="14" t="s">
        <v>321</v>
      </c>
      <c r="Z17" s="23" t="s">
        <v>322</v>
      </c>
      <c r="AA17" s="33">
        <v>3</v>
      </c>
      <c r="AB17" s="33" t="s">
        <v>255</v>
      </c>
      <c r="AC17" s="33" t="s">
        <v>168</v>
      </c>
      <c r="AD17" s="23" t="s">
        <v>323</v>
      </c>
      <c r="AE17" s="36"/>
    </row>
    <row r="18" spans="1:33" ht="17.25" thickTop="1" thickBot="1">
      <c r="A18" s="25" t="s">
        <v>32</v>
      </c>
      <c r="B18" s="15">
        <v>95197926</v>
      </c>
      <c r="C18" s="15" t="s">
        <v>33</v>
      </c>
      <c r="D18" s="15" t="s">
        <v>26</v>
      </c>
      <c r="E18" s="24" t="s">
        <v>19</v>
      </c>
      <c r="F18" s="24" t="s">
        <v>324</v>
      </c>
      <c r="G18" s="26" t="s">
        <v>325</v>
      </c>
      <c r="H18" s="25" t="s">
        <v>326</v>
      </c>
      <c r="I18" s="26" t="s">
        <v>19</v>
      </c>
      <c r="J18" s="26" t="s">
        <v>325</v>
      </c>
      <c r="K18" s="26" t="s">
        <v>327</v>
      </c>
      <c r="L18" s="26" t="s">
        <v>230</v>
      </c>
      <c r="M18" s="25" t="s">
        <v>328</v>
      </c>
      <c r="N18" s="25" t="s">
        <v>159</v>
      </c>
      <c r="O18" s="25" t="s">
        <v>160</v>
      </c>
      <c r="P18" s="25" t="s">
        <v>161</v>
      </c>
      <c r="Q18" s="27">
        <v>1</v>
      </c>
      <c r="R18" s="27">
        <v>50000</v>
      </c>
      <c r="S18" s="27">
        <v>50000</v>
      </c>
      <c r="T18" s="9" t="s">
        <v>20</v>
      </c>
      <c r="U18" s="9" t="s">
        <v>329</v>
      </c>
      <c r="V18" s="9" t="s">
        <v>21</v>
      </c>
      <c r="W18" s="7" t="s">
        <v>330</v>
      </c>
      <c r="X18" s="15" t="s">
        <v>306</v>
      </c>
      <c r="Y18" s="14" t="s">
        <v>331</v>
      </c>
      <c r="Z18" s="23" t="s">
        <v>332</v>
      </c>
      <c r="AA18" s="33">
        <v>3</v>
      </c>
      <c r="AB18" s="33" t="s">
        <v>243</v>
      </c>
      <c r="AC18" s="33" t="s">
        <v>168</v>
      </c>
      <c r="AD18" s="23" t="s">
        <v>333</v>
      </c>
      <c r="AE18" s="36"/>
    </row>
    <row r="19" spans="1:33" ht="17.25" thickTop="1" thickBot="1">
      <c r="A19" s="25" t="s">
        <v>35</v>
      </c>
      <c r="B19" s="15">
        <v>95197926</v>
      </c>
      <c r="C19" s="15" t="s">
        <v>31</v>
      </c>
      <c r="D19" s="15" t="s">
        <v>26</v>
      </c>
      <c r="E19" s="24" t="s">
        <v>19</v>
      </c>
      <c r="F19" s="24" t="s">
        <v>292</v>
      </c>
      <c r="G19" s="26" t="s">
        <v>293</v>
      </c>
      <c r="H19" s="25" t="s">
        <v>294</v>
      </c>
      <c r="I19" s="26" t="s">
        <v>19</v>
      </c>
      <c r="J19" s="26" t="s">
        <v>293</v>
      </c>
      <c r="K19" s="26" t="s">
        <v>156</v>
      </c>
      <c r="L19" s="26" t="s">
        <v>334</v>
      </c>
      <c r="M19" s="25" t="s">
        <v>335</v>
      </c>
      <c r="N19" s="25" t="s">
        <v>159</v>
      </c>
      <c r="O19" s="25" t="s">
        <v>160</v>
      </c>
      <c r="P19" s="25" t="s">
        <v>161</v>
      </c>
      <c r="Q19" s="27">
        <v>1</v>
      </c>
      <c r="R19" s="27">
        <v>1200000</v>
      </c>
      <c r="S19" s="27">
        <v>1200000</v>
      </c>
      <c r="T19" s="9" t="s">
        <v>20</v>
      </c>
      <c r="U19" s="9" t="s">
        <v>336</v>
      </c>
      <c r="V19" s="9" t="s">
        <v>21</v>
      </c>
      <c r="W19" s="7" t="s">
        <v>337</v>
      </c>
      <c r="X19" s="15" t="s">
        <v>306</v>
      </c>
      <c r="Y19" s="14" t="s">
        <v>338</v>
      </c>
      <c r="Z19" s="23" t="s">
        <v>339</v>
      </c>
      <c r="AA19" s="33">
        <v>3</v>
      </c>
      <c r="AB19" s="33" t="s">
        <v>340</v>
      </c>
      <c r="AC19" s="33" t="s">
        <v>168</v>
      </c>
      <c r="AD19" s="23" t="s">
        <v>341</v>
      </c>
      <c r="AE19" s="36"/>
    </row>
    <row r="20" spans="1:33" ht="17.25" thickTop="1" thickBot="1">
      <c r="A20" s="28" t="s">
        <v>62</v>
      </c>
      <c r="B20" s="15">
        <v>94045721</v>
      </c>
      <c r="C20" s="14" t="s">
        <v>63</v>
      </c>
      <c r="D20" s="15" t="s">
        <v>47</v>
      </c>
      <c r="E20" s="24" t="s">
        <v>55</v>
      </c>
      <c r="F20" s="24" t="s">
        <v>280</v>
      </c>
      <c r="G20" s="26" t="s">
        <v>281</v>
      </c>
      <c r="H20" s="28" t="s">
        <v>282</v>
      </c>
      <c r="I20" s="29" t="s">
        <v>55</v>
      </c>
      <c r="J20" s="29" t="s">
        <v>281</v>
      </c>
      <c r="K20" s="30" t="s">
        <v>342</v>
      </c>
      <c r="L20" s="29" t="s">
        <v>261</v>
      </c>
      <c r="M20" s="28" t="s">
        <v>273</v>
      </c>
      <c r="N20" s="28" t="s">
        <v>159</v>
      </c>
      <c r="O20" s="28" t="s">
        <v>188</v>
      </c>
      <c r="P20" s="28" t="s">
        <v>161</v>
      </c>
      <c r="Q20" s="31">
        <v>1587453</v>
      </c>
      <c r="R20" s="31">
        <v>1</v>
      </c>
      <c r="S20" s="31">
        <v>1587453</v>
      </c>
      <c r="T20" s="11" t="s">
        <v>56</v>
      </c>
      <c r="U20" s="9" t="s">
        <v>343</v>
      </c>
      <c r="V20" s="9" t="s">
        <v>21</v>
      </c>
      <c r="W20" s="7" t="s">
        <v>344</v>
      </c>
      <c r="X20" s="15" t="s">
        <v>306</v>
      </c>
      <c r="Y20" s="14" t="s">
        <v>345</v>
      </c>
      <c r="Z20" s="35" t="s">
        <v>346</v>
      </c>
      <c r="AA20" s="33">
        <v>3</v>
      </c>
      <c r="AB20" s="33" t="s">
        <v>347</v>
      </c>
      <c r="AC20" s="33" t="s">
        <v>168</v>
      </c>
      <c r="AD20" s="35" t="s">
        <v>348</v>
      </c>
      <c r="AE20" s="14"/>
    </row>
    <row r="21" spans="1:33" ht="17.25" thickTop="1" thickBot="1">
      <c r="A21" s="28" t="s">
        <v>123</v>
      </c>
      <c r="B21" s="15">
        <v>95411174</v>
      </c>
      <c r="C21" s="14" t="s">
        <v>124</v>
      </c>
      <c r="D21" s="15" t="s">
        <v>125</v>
      </c>
      <c r="E21" s="24" t="s">
        <v>27</v>
      </c>
      <c r="F21" s="24" t="s">
        <v>349</v>
      </c>
      <c r="G21" s="26" t="s">
        <v>350</v>
      </c>
      <c r="H21" s="28" t="s">
        <v>351</v>
      </c>
      <c r="I21" s="29" t="s">
        <v>27</v>
      </c>
      <c r="J21" s="29" t="s">
        <v>350</v>
      </c>
      <c r="K21" s="30" t="s">
        <v>352</v>
      </c>
      <c r="L21" s="29">
        <v>64757</v>
      </c>
      <c r="M21" s="28" t="s">
        <v>353</v>
      </c>
      <c r="N21" s="28" t="s">
        <v>159</v>
      </c>
      <c r="O21" s="28" t="s">
        <v>160</v>
      </c>
      <c r="P21" s="28" t="s">
        <v>161</v>
      </c>
      <c r="Q21" s="31">
        <v>1</v>
      </c>
      <c r="R21" s="31">
        <v>2000</v>
      </c>
      <c r="S21" s="31">
        <v>2000</v>
      </c>
      <c r="T21" s="11"/>
      <c r="U21" s="9" t="s">
        <v>354</v>
      </c>
      <c r="W21" s="7"/>
      <c r="X21" s="15" t="s">
        <v>306</v>
      </c>
      <c r="Y21" s="14" t="s">
        <v>355</v>
      </c>
      <c r="Z21" s="35" t="s">
        <v>356</v>
      </c>
      <c r="AA21" s="33">
        <v>3</v>
      </c>
      <c r="AB21" s="33" t="s">
        <v>357</v>
      </c>
      <c r="AC21" s="33" t="s">
        <v>168</v>
      </c>
      <c r="AD21" s="44" t="s">
        <v>358</v>
      </c>
      <c r="AE21" s="36" t="s">
        <v>359</v>
      </c>
      <c r="AG21" s="9" t="b">
        <f>Table1[[#This Row],[New PO '#]]=AF21</f>
        <v>0</v>
      </c>
    </row>
    <row r="22" spans="1:33" ht="17.25" thickTop="1" thickBot="1">
      <c r="A22" s="28" t="s">
        <v>99</v>
      </c>
      <c r="B22" s="15">
        <v>94045721</v>
      </c>
      <c r="C22" s="14" t="s">
        <v>100</v>
      </c>
      <c r="D22" s="15" t="s">
        <v>97</v>
      </c>
      <c r="E22" s="24" t="s">
        <v>55</v>
      </c>
      <c r="F22" s="24" t="s">
        <v>310</v>
      </c>
      <c r="G22" s="26" t="s">
        <v>311</v>
      </c>
      <c r="H22" s="28" t="s">
        <v>312</v>
      </c>
      <c r="I22" s="29" t="s">
        <v>55</v>
      </c>
      <c r="J22" s="29" t="s">
        <v>311</v>
      </c>
      <c r="K22" s="30" t="s">
        <v>260</v>
      </c>
      <c r="L22" s="29" t="s">
        <v>261</v>
      </c>
      <c r="M22" s="28" t="s">
        <v>262</v>
      </c>
      <c r="N22" s="38" t="s">
        <v>159</v>
      </c>
      <c r="O22" s="28" t="s">
        <v>160</v>
      </c>
      <c r="P22" s="28" t="s">
        <v>161</v>
      </c>
      <c r="Q22" s="31">
        <v>3156004.75</v>
      </c>
      <c r="R22" s="31">
        <v>1</v>
      </c>
      <c r="S22" s="31">
        <v>3156004.75</v>
      </c>
      <c r="T22" s="11" t="s">
        <v>56</v>
      </c>
      <c r="U22" s="9" t="s">
        <v>360</v>
      </c>
      <c r="V22" s="9" t="s">
        <v>21</v>
      </c>
      <c r="W22" s="7" t="s">
        <v>361</v>
      </c>
      <c r="X22" s="15" t="s">
        <v>362</v>
      </c>
      <c r="Y22" s="14" t="s">
        <v>363</v>
      </c>
      <c r="Z22" s="15" t="s">
        <v>364</v>
      </c>
      <c r="AA22" s="33">
        <v>2</v>
      </c>
      <c r="AB22" s="33" t="s">
        <v>225</v>
      </c>
      <c r="AC22" s="33" t="s">
        <v>365</v>
      </c>
      <c r="AD22" s="15" t="s">
        <v>366</v>
      </c>
      <c r="AE22" s="36" t="s">
        <v>367</v>
      </c>
    </row>
    <row r="23" spans="1:33" ht="17.25" thickTop="1" thickBot="1">
      <c r="A23" s="25" t="s">
        <v>119</v>
      </c>
      <c r="B23" s="15">
        <v>95197926</v>
      </c>
      <c r="C23" s="15" t="s">
        <v>120</v>
      </c>
      <c r="D23" s="15" t="s">
        <v>104</v>
      </c>
      <c r="E23" s="24" t="s">
        <v>19</v>
      </c>
      <c r="F23" s="24" t="s">
        <v>153</v>
      </c>
      <c r="G23" s="26" t="s">
        <v>154</v>
      </c>
      <c r="H23" s="25" t="s">
        <v>155</v>
      </c>
      <c r="I23" s="26" t="s">
        <v>19</v>
      </c>
      <c r="J23" s="26" t="s">
        <v>154</v>
      </c>
      <c r="K23" s="26" t="s">
        <v>173</v>
      </c>
      <c r="L23" s="26" t="s">
        <v>368</v>
      </c>
      <c r="M23" s="25" t="s">
        <v>369</v>
      </c>
      <c r="N23" s="25" t="s">
        <v>159</v>
      </c>
      <c r="O23" s="25" t="s">
        <v>160</v>
      </c>
      <c r="P23" s="25" t="s">
        <v>161</v>
      </c>
      <c r="Q23" s="27">
        <v>1</v>
      </c>
      <c r="R23" s="27">
        <v>21817.96</v>
      </c>
      <c r="S23" s="27">
        <v>21817.96</v>
      </c>
      <c r="T23" s="9" t="s">
        <v>20</v>
      </c>
      <c r="U23" s="9" t="s">
        <v>370</v>
      </c>
      <c r="V23" s="9" t="s">
        <v>21</v>
      </c>
      <c r="W23" s="7" t="s">
        <v>371</v>
      </c>
      <c r="X23" s="15" t="s">
        <v>306</v>
      </c>
      <c r="Y23" s="14" t="s">
        <v>372</v>
      </c>
      <c r="Z23" s="23" t="s">
        <v>373</v>
      </c>
      <c r="AA23" s="33">
        <v>3</v>
      </c>
      <c r="AB23" s="33" t="s">
        <v>289</v>
      </c>
      <c r="AC23" s="33" t="s">
        <v>168</v>
      </c>
      <c r="AD23" s="23" t="s">
        <v>374</v>
      </c>
      <c r="AE23" s="36"/>
    </row>
    <row r="24" spans="1:33" ht="17.25" thickTop="1" thickBot="1">
      <c r="A24" s="25" t="s">
        <v>79</v>
      </c>
      <c r="B24" s="15">
        <v>95197926</v>
      </c>
      <c r="C24" s="15" t="s">
        <v>80</v>
      </c>
      <c r="D24" s="15" t="s">
        <v>47</v>
      </c>
      <c r="E24" s="24" t="s">
        <v>19</v>
      </c>
      <c r="F24" s="24" t="s">
        <v>183</v>
      </c>
      <c r="G24" s="26" t="s">
        <v>184</v>
      </c>
      <c r="H24" s="25" t="s">
        <v>185</v>
      </c>
      <c r="I24" s="26" t="s">
        <v>19</v>
      </c>
      <c r="J24" s="26" t="s">
        <v>184</v>
      </c>
      <c r="K24" s="26" t="s">
        <v>173</v>
      </c>
      <c r="L24" s="26" t="s">
        <v>368</v>
      </c>
      <c r="M24" s="25" t="s">
        <v>375</v>
      </c>
      <c r="N24" s="25" t="s">
        <v>159</v>
      </c>
      <c r="O24" s="25" t="s">
        <v>160</v>
      </c>
      <c r="P24" s="25" t="s">
        <v>161</v>
      </c>
      <c r="Q24" s="27">
        <v>1</v>
      </c>
      <c r="R24" s="27">
        <v>16000</v>
      </c>
      <c r="S24" s="27">
        <v>16000</v>
      </c>
      <c r="T24" s="9" t="s">
        <v>20</v>
      </c>
      <c r="U24" s="9" t="s">
        <v>376</v>
      </c>
      <c r="V24" s="9" t="s">
        <v>21</v>
      </c>
      <c r="W24" s="7" t="s">
        <v>377</v>
      </c>
      <c r="X24" s="15" t="s">
        <v>306</v>
      </c>
      <c r="Y24" s="14" t="s">
        <v>378</v>
      </c>
      <c r="Z24" s="23" t="s">
        <v>379</v>
      </c>
      <c r="AA24" s="33">
        <v>3</v>
      </c>
      <c r="AB24" s="33" t="s">
        <v>181</v>
      </c>
      <c r="AC24" s="33" t="s">
        <v>168</v>
      </c>
      <c r="AD24" s="23" t="s">
        <v>380</v>
      </c>
      <c r="AE24" s="36"/>
    </row>
    <row r="25" spans="1:33" ht="17.25" thickTop="1" thickBot="1">
      <c r="A25" s="28" t="s">
        <v>88</v>
      </c>
      <c r="B25" s="15">
        <v>95411174</v>
      </c>
      <c r="C25" s="14" t="s">
        <v>37</v>
      </c>
      <c r="D25" s="15" t="s">
        <v>47</v>
      </c>
      <c r="E25" s="24" t="s">
        <v>27</v>
      </c>
      <c r="F25" s="24" t="s">
        <v>381</v>
      </c>
      <c r="G25" s="26" t="s">
        <v>382</v>
      </c>
      <c r="H25" s="28" t="s">
        <v>383</v>
      </c>
      <c r="I25" s="29" t="s">
        <v>27</v>
      </c>
      <c r="J25" s="29" t="s">
        <v>382</v>
      </c>
      <c r="K25" s="30" t="s">
        <v>352</v>
      </c>
      <c r="L25" s="29">
        <v>64150</v>
      </c>
      <c r="M25" s="28" t="s">
        <v>384</v>
      </c>
      <c r="N25" s="28" t="s">
        <v>159</v>
      </c>
      <c r="O25" s="28" t="s">
        <v>160</v>
      </c>
      <c r="P25" s="28" t="s">
        <v>161</v>
      </c>
      <c r="Q25" s="31">
        <v>1</v>
      </c>
      <c r="R25" s="31">
        <v>68232</v>
      </c>
      <c r="S25" s="31">
        <v>68232</v>
      </c>
      <c r="T25" s="11"/>
      <c r="U25" s="9" t="s">
        <v>385</v>
      </c>
      <c r="W25" s="7"/>
      <c r="X25" s="15" t="s">
        <v>306</v>
      </c>
      <c r="Y25" s="14" t="s">
        <v>386</v>
      </c>
      <c r="Z25" s="35" t="s">
        <v>387</v>
      </c>
      <c r="AA25" s="33">
        <v>3</v>
      </c>
      <c r="AB25" s="33" t="s">
        <v>278</v>
      </c>
      <c r="AC25" s="33" t="s">
        <v>168</v>
      </c>
      <c r="AD25" s="35" t="s">
        <v>388</v>
      </c>
      <c r="AE25" s="14"/>
    </row>
    <row r="26" spans="1:33" ht="17.25" thickTop="1" thickBot="1">
      <c r="A26" s="28" t="s">
        <v>24</v>
      </c>
      <c r="B26" s="15">
        <v>95411174</v>
      </c>
      <c r="C26" s="14" t="s">
        <v>23</v>
      </c>
      <c r="D26" s="15" t="s">
        <v>26</v>
      </c>
      <c r="E26" s="24" t="s">
        <v>27</v>
      </c>
      <c r="F26" s="24" t="s">
        <v>381</v>
      </c>
      <c r="G26" s="26" t="s">
        <v>382</v>
      </c>
      <c r="H26" s="28" t="s">
        <v>383</v>
      </c>
      <c r="I26" s="29" t="s">
        <v>27</v>
      </c>
      <c r="J26" s="29" t="s">
        <v>382</v>
      </c>
      <c r="K26" s="30" t="s">
        <v>352</v>
      </c>
      <c r="L26" s="29">
        <v>16999</v>
      </c>
      <c r="M26" s="28" t="s">
        <v>389</v>
      </c>
      <c r="N26" s="28" t="s">
        <v>176</v>
      </c>
      <c r="O26" s="28" t="s">
        <v>296</v>
      </c>
      <c r="P26" s="28" t="s">
        <v>161</v>
      </c>
      <c r="Q26" s="31">
        <v>154.06</v>
      </c>
      <c r="R26" s="31">
        <v>300</v>
      </c>
      <c r="S26" s="31">
        <v>46218</v>
      </c>
      <c r="T26" s="11"/>
      <c r="U26" s="9" t="s">
        <v>390</v>
      </c>
      <c r="W26" s="7"/>
      <c r="X26" s="15" t="s">
        <v>362</v>
      </c>
      <c r="Y26" s="14" t="s">
        <v>391</v>
      </c>
      <c r="Z26" s="35" t="s">
        <v>392</v>
      </c>
      <c r="AA26" s="33">
        <v>1</v>
      </c>
      <c r="AB26" s="33" t="s">
        <v>393</v>
      </c>
      <c r="AC26" s="33" t="s">
        <v>365</v>
      </c>
      <c r="AD26" s="35" t="s">
        <v>394</v>
      </c>
      <c r="AE26" s="14"/>
    </row>
    <row r="27" spans="1:33" ht="17.25" thickTop="1" thickBot="1">
      <c r="A27" s="28" t="s">
        <v>116</v>
      </c>
      <c r="B27" s="15">
        <v>95411174</v>
      </c>
      <c r="C27" s="14" t="s">
        <v>87</v>
      </c>
      <c r="D27" s="15" t="s">
        <v>104</v>
      </c>
      <c r="E27" s="24" t="s">
        <v>27</v>
      </c>
      <c r="F27" s="24" t="s">
        <v>395</v>
      </c>
      <c r="G27" s="26" t="s">
        <v>396</v>
      </c>
      <c r="H27" s="28" t="s">
        <v>397</v>
      </c>
      <c r="I27" s="29" t="s">
        <v>27</v>
      </c>
      <c r="J27" s="29" t="s">
        <v>396</v>
      </c>
      <c r="K27" s="30" t="s">
        <v>352</v>
      </c>
      <c r="L27" s="29">
        <v>67410</v>
      </c>
      <c r="M27" s="28" t="s">
        <v>398</v>
      </c>
      <c r="N27" s="28" t="s">
        <v>159</v>
      </c>
      <c r="O27" s="28" t="s">
        <v>160</v>
      </c>
      <c r="P27" s="28" t="s">
        <v>161</v>
      </c>
      <c r="Q27" s="31">
        <v>3800</v>
      </c>
      <c r="R27" s="31">
        <v>3</v>
      </c>
      <c r="S27" s="31">
        <v>11400</v>
      </c>
      <c r="T27" s="11"/>
      <c r="U27" s="9" t="s">
        <v>399</v>
      </c>
      <c r="W27" s="7"/>
      <c r="X27" s="15" t="s">
        <v>306</v>
      </c>
      <c r="Y27" s="14" t="s">
        <v>400</v>
      </c>
      <c r="Z27" s="35" t="s">
        <v>401</v>
      </c>
      <c r="AA27" s="33">
        <v>3</v>
      </c>
      <c r="AB27" s="33" t="s">
        <v>167</v>
      </c>
      <c r="AC27" s="33" t="s">
        <v>168</v>
      </c>
      <c r="AD27" s="45" t="s">
        <v>402</v>
      </c>
      <c r="AE27" s="36" t="s">
        <v>319</v>
      </c>
    </row>
    <row r="28" spans="1:33" ht="17.25" thickTop="1" thickBot="1">
      <c r="A28" s="28" t="s">
        <v>95</v>
      </c>
      <c r="B28" s="15">
        <v>95197926</v>
      </c>
      <c r="C28" s="14" t="s">
        <v>127</v>
      </c>
      <c r="D28" s="15" t="s">
        <v>125</v>
      </c>
      <c r="E28" s="24" t="s">
        <v>19</v>
      </c>
      <c r="F28" s="24" t="s">
        <v>403</v>
      </c>
      <c r="G28" s="26">
        <v>2318</v>
      </c>
      <c r="H28" s="28" t="s">
        <v>404</v>
      </c>
      <c r="I28" s="29" t="s">
        <v>19</v>
      </c>
      <c r="J28" s="29">
        <v>2318</v>
      </c>
      <c r="K28" s="30" t="s">
        <v>405</v>
      </c>
      <c r="L28" s="29">
        <v>52106</v>
      </c>
      <c r="M28" s="28" t="s">
        <v>406</v>
      </c>
      <c r="N28" s="28" t="s">
        <v>159</v>
      </c>
      <c r="O28" s="28" t="s">
        <v>160</v>
      </c>
      <c r="P28" s="28" t="s">
        <v>161</v>
      </c>
      <c r="Q28" s="31">
        <v>1</v>
      </c>
      <c r="R28" s="31">
        <v>60000</v>
      </c>
      <c r="S28" s="31">
        <v>60000</v>
      </c>
      <c r="T28" s="11"/>
      <c r="U28" s="9" t="s">
        <v>407</v>
      </c>
      <c r="W28" s="7"/>
      <c r="X28" s="15" t="s">
        <v>362</v>
      </c>
      <c r="Y28" s="14" t="s">
        <v>408</v>
      </c>
      <c r="Z28" s="15" t="s">
        <v>409</v>
      </c>
      <c r="AA28" s="33">
        <v>1</v>
      </c>
      <c r="AB28" s="33" t="s">
        <v>410</v>
      </c>
      <c r="AC28" s="33" t="s">
        <v>365</v>
      </c>
      <c r="AD28" s="15" t="s">
        <v>411</v>
      </c>
      <c r="AE28" s="36" t="s">
        <v>291</v>
      </c>
    </row>
    <row r="29" spans="1:33" ht="17.25" thickTop="1" thickBot="1">
      <c r="A29" s="28" t="s">
        <v>95</v>
      </c>
      <c r="B29" s="15">
        <v>95197926</v>
      </c>
      <c r="C29" s="14" t="s">
        <v>127</v>
      </c>
      <c r="D29" s="15" t="s">
        <v>125</v>
      </c>
      <c r="E29" s="24" t="s">
        <v>19</v>
      </c>
      <c r="F29" s="24" t="s">
        <v>403</v>
      </c>
      <c r="G29" s="26">
        <v>2318</v>
      </c>
      <c r="H29" s="28" t="s">
        <v>404</v>
      </c>
      <c r="I29" s="29" t="s">
        <v>19</v>
      </c>
      <c r="J29" s="29">
        <v>2318</v>
      </c>
      <c r="K29" s="30" t="s">
        <v>405</v>
      </c>
      <c r="L29" s="29">
        <v>52106</v>
      </c>
      <c r="M29" s="28" t="s">
        <v>406</v>
      </c>
      <c r="N29" s="28" t="s">
        <v>159</v>
      </c>
      <c r="O29" s="28" t="s">
        <v>160</v>
      </c>
      <c r="P29" s="28" t="s">
        <v>161</v>
      </c>
      <c r="Q29" s="31">
        <v>1</v>
      </c>
      <c r="R29" s="31">
        <v>60000</v>
      </c>
      <c r="S29" s="31">
        <v>60000</v>
      </c>
      <c r="T29" s="11"/>
      <c r="U29" s="9" t="s">
        <v>407</v>
      </c>
      <c r="W29" s="7"/>
      <c r="X29" s="15" t="s">
        <v>362</v>
      </c>
      <c r="Y29" s="14" t="s">
        <v>408</v>
      </c>
      <c r="Z29" s="15" t="s">
        <v>412</v>
      </c>
      <c r="AA29" s="33">
        <v>1</v>
      </c>
      <c r="AB29" s="33" t="s">
        <v>410</v>
      </c>
      <c r="AC29" s="33" t="s">
        <v>365</v>
      </c>
      <c r="AD29" s="15" t="s">
        <v>413</v>
      </c>
      <c r="AE29" s="36" t="s">
        <v>291</v>
      </c>
    </row>
    <row r="30" spans="1:33" ht="17.25" thickTop="1" thickBot="1">
      <c r="A30" s="28" t="s">
        <v>95</v>
      </c>
      <c r="B30" s="15">
        <v>95197926</v>
      </c>
      <c r="C30" s="14" t="s">
        <v>127</v>
      </c>
      <c r="D30" s="15" t="s">
        <v>125</v>
      </c>
      <c r="E30" s="24" t="s">
        <v>19</v>
      </c>
      <c r="F30" s="24" t="s">
        <v>403</v>
      </c>
      <c r="G30" s="26">
        <v>2318</v>
      </c>
      <c r="H30" s="28" t="s">
        <v>404</v>
      </c>
      <c r="I30" s="29" t="s">
        <v>19</v>
      </c>
      <c r="J30" s="29">
        <v>2318</v>
      </c>
      <c r="K30" s="30" t="s">
        <v>405</v>
      </c>
      <c r="L30" s="29">
        <v>52106</v>
      </c>
      <c r="M30" s="28" t="s">
        <v>406</v>
      </c>
      <c r="N30" s="28" t="s">
        <v>159</v>
      </c>
      <c r="O30" s="28" t="s">
        <v>160</v>
      </c>
      <c r="P30" s="28" t="s">
        <v>161</v>
      </c>
      <c r="Q30" s="31">
        <v>1</v>
      </c>
      <c r="R30" s="31">
        <v>60000</v>
      </c>
      <c r="S30" s="31">
        <v>60000</v>
      </c>
      <c r="T30" s="11"/>
      <c r="U30" s="9" t="s">
        <v>407</v>
      </c>
      <c r="W30" s="7"/>
      <c r="X30" s="15" t="s">
        <v>362</v>
      </c>
      <c r="Y30" s="14" t="s">
        <v>408</v>
      </c>
      <c r="Z30" s="15" t="s">
        <v>414</v>
      </c>
      <c r="AA30" s="33">
        <v>1</v>
      </c>
      <c r="AB30" s="33" t="s">
        <v>410</v>
      </c>
      <c r="AC30" s="33" t="s">
        <v>365</v>
      </c>
      <c r="AD30" s="15" t="s">
        <v>415</v>
      </c>
      <c r="AE30" s="36" t="s">
        <v>291</v>
      </c>
    </row>
    <row r="31" spans="1:33" ht="17.25" thickTop="1" thickBot="1">
      <c r="A31" s="28" t="s">
        <v>38</v>
      </c>
      <c r="B31" s="15">
        <v>95411174</v>
      </c>
      <c r="C31" s="14" t="s">
        <v>39</v>
      </c>
      <c r="D31" s="15" t="s">
        <v>26</v>
      </c>
      <c r="E31" s="24" t="s">
        <v>27</v>
      </c>
      <c r="F31" s="24" t="s">
        <v>395</v>
      </c>
      <c r="G31" s="26" t="s">
        <v>396</v>
      </c>
      <c r="H31" s="28" t="s">
        <v>397</v>
      </c>
      <c r="I31" s="29" t="s">
        <v>27</v>
      </c>
      <c r="J31" s="46" t="s">
        <v>396</v>
      </c>
      <c r="K31" s="30" t="s">
        <v>352</v>
      </c>
      <c r="L31" s="29">
        <v>16999</v>
      </c>
      <c r="M31" s="28" t="s">
        <v>416</v>
      </c>
      <c r="N31" s="28" t="s">
        <v>176</v>
      </c>
      <c r="O31" s="28" t="s">
        <v>296</v>
      </c>
      <c r="P31" s="28" t="s">
        <v>161</v>
      </c>
      <c r="Q31" s="31">
        <v>37</v>
      </c>
      <c r="R31" s="31">
        <v>3</v>
      </c>
      <c r="S31" s="31">
        <v>111</v>
      </c>
      <c r="T31" s="11"/>
      <c r="U31" s="9" t="s">
        <v>417</v>
      </c>
      <c r="W31" s="7"/>
      <c r="X31" s="15" t="s">
        <v>362</v>
      </c>
      <c r="Y31" s="14" t="s">
        <v>418</v>
      </c>
      <c r="Z31" s="35" t="s">
        <v>419</v>
      </c>
      <c r="AA31" s="33">
        <v>1</v>
      </c>
      <c r="AB31" s="33" t="s">
        <v>225</v>
      </c>
      <c r="AC31" s="33" t="s">
        <v>365</v>
      </c>
      <c r="AD31" s="47" t="s">
        <v>420</v>
      </c>
      <c r="AE31" s="36" t="s">
        <v>319</v>
      </c>
    </row>
    <row r="32" spans="1:33" ht="17.25" thickTop="1" thickBot="1">
      <c r="A32" s="28" t="s">
        <v>99</v>
      </c>
      <c r="B32" s="15">
        <v>94045721</v>
      </c>
      <c r="C32" s="14" t="s">
        <v>100</v>
      </c>
      <c r="D32" s="15" t="s">
        <v>97</v>
      </c>
      <c r="E32" s="24" t="s">
        <v>55</v>
      </c>
      <c r="F32" s="24" t="s">
        <v>268</v>
      </c>
      <c r="G32" s="26">
        <v>8207</v>
      </c>
      <c r="H32" s="28" t="s">
        <v>269</v>
      </c>
      <c r="I32" s="29" t="s">
        <v>55</v>
      </c>
      <c r="J32" s="29" t="s">
        <v>270</v>
      </c>
      <c r="K32" s="30" t="s">
        <v>421</v>
      </c>
      <c r="L32" s="29" t="s">
        <v>422</v>
      </c>
      <c r="M32" s="28" t="s">
        <v>262</v>
      </c>
      <c r="N32" s="28" t="s">
        <v>159</v>
      </c>
      <c r="O32" s="28" t="s">
        <v>160</v>
      </c>
      <c r="P32" s="28" t="s">
        <v>161</v>
      </c>
      <c r="Q32" s="31">
        <v>1580000</v>
      </c>
      <c r="R32" s="31">
        <v>1</v>
      </c>
      <c r="S32" s="31">
        <v>1580000</v>
      </c>
      <c r="T32" s="11"/>
      <c r="U32" s="9" t="s">
        <v>360</v>
      </c>
      <c r="V32" s="9" t="s">
        <v>21</v>
      </c>
      <c r="W32" s="7" t="s">
        <v>423</v>
      </c>
      <c r="X32" s="15" t="s">
        <v>362</v>
      </c>
      <c r="Y32" s="14" t="s">
        <v>424</v>
      </c>
      <c r="Z32" s="35" t="s">
        <v>425</v>
      </c>
      <c r="AA32" s="33">
        <v>2</v>
      </c>
      <c r="AB32" s="33" t="s">
        <v>225</v>
      </c>
      <c r="AC32" s="33" t="s">
        <v>365</v>
      </c>
      <c r="AD32" s="35" t="s">
        <v>426</v>
      </c>
      <c r="AE32" s="14"/>
    </row>
    <row r="33" spans="1:31" ht="17.25" thickTop="1" thickBot="1">
      <c r="A33" s="38" t="s">
        <v>42</v>
      </c>
      <c r="B33" s="15">
        <v>95197926</v>
      </c>
      <c r="C33" s="14" t="s">
        <v>43</v>
      </c>
      <c r="D33" s="15" t="s">
        <v>26</v>
      </c>
      <c r="E33" s="24" t="s">
        <v>19</v>
      </c>
      <c r="F33" s="24" t="s">
        <v>216</v>
      </c>
      <c r="G33" s="39" t="s">
        <v>217</v>
      </c>
      <c r="H33" s="40" t="s">
        <v>218</v>
      </c>
      <c r="I33" s="41" t="s">
        <v>19</v>
      </c>
      <c r="J33" s="41" t="s">
        <v>217</v>
      </c>
      <c r="K33" s="42" t="s">
        <v>427</v>
      </c>
      <c r="L33" s="41" t="s">
        <v>428</v>
      </c>
      <c r="M33" s="38" t="s">
        <v>429</v>
      </c>
      <c r="N33" s="40" t="s">
        <v>176</v>
      </c>
      <c r="O33" s="14" t="s">
        <v>430</v>
      </c>
      <c r="P33" s="14" t="s">
        <v>161</v>
      </c>
      <c r="Q33" s="32">
        <v>52.1</v>
      </c>
      <c r="R33" s="32">
        <v>2000</v>
      </c>
      <c r="S33" s="32">
        <v>104200</v>
      </c>
      <c r="T33" s="11" t="s">
        <v>20</v>
      </c>
      <c r="U33" s="9" t="s">
        <v>431</v>
      </c>
      <c r="V33" s="9" t="s">
        <v>21</v>
      </c>
      <c r="W33" s="7" t="s">
        <v>432</v>
      </c>
      <c r="X33" s="15" t="s">
        <v>362</v>
      </c>
      <c r="Y33" s="48" t="s">
        <v>433</v>
      </c>
      <c r="Z33" s="23"/>
      <c r="AA33" s="33"/>
      <c r="AB33" s="33"/>
      <c r="AC33" s="33"/>
      <c r="AD33" s="15"/>
      <c r="AE33" s="14" t="s">
        <v>434</v>
      </c>
    </row>
    <row r="34" spans="1:31" ht="17.25" thickTop="1" thickBot="1">
      <c r="A34" s="38" t="s">
        <v>42</v>
      </c>
      <c r="B34" s="15">
        <v>95197926</v>
      </c>
      <c r="C34" s="14" t="s">
        <v>43</v>
      </c>
      <c r="D34" s="15" t="s">
        <v>26</v>
      </c>
      <c r="E34" s="24" t="s">
        <v>19</v>
      </c>
      <c r="F34" s="24" t="s">
        <v>435</v>
      </c>
      <c r="G34" s="39" t="s">
        <v>436</v>
      </c>
      <c r="H34" s="40" t="s">
        <v>437</v>
      </c>
      <c r="I34" s="41" t="s">
        <v>19</v>
      </c>
      <c r="J34" s="41" t="s">
        <v>436</v>
      </c>
      <c r="K34" s="42" t="s">
        <v>427</v>
      </c>
      <c r="L34" s="41" t="s">
        <v>428</v>
      </c>
      <c r="M34" s="38" t="s">
        <v>438</v>
      </c>
      <c r="N34" s="14" t="s">
        <v>176</v>
      </c>
      <c r="O34" s="14" t="s">
        <v>430</v>
      </c>
      <c r="P34" s="14" t="s">
        <v>161</v>
      </c>
      <c r="Q34" s="32">
        <v>0.81</v>
      </c>
      <c r="R34" s="32">
        <v>6000</v>
      </c>
      <c r="S34" s="32">
        <v>4860</v>
      </c>
      <c r="T34" s="11"/>
      <c r="U34" s="9" t="s">
        <v>431</v>
      </c>
      <c r="V34" s="9" t="s">
        <v>21</v>
      </c>
      <c r="W34" s="7" t="s">
        <v>439</v>
      </c>
      <c r="X34" s="15" t="s">
        <v>362</v>
      </c>
      <c r="Y34" s="14" t="s">
        <v>440</v>
      </c>
      <c r="Z34" s="43"/>
      <c r="AD34" s="15"/>
      <c r="AE34" s="14" t="s">
        <v>434</v>
      </c>
    </row>
    <row r="35" spans="1:31" ht="15.75" thickTop="1"/>
    <row r="37" spans="1:31">
      <c r="G37" s="18"/>
    </row>
  </sheetData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0189-8EB9-48E1-8D44-26FA94EBFC3E}">
  <dimension ref="A1:C2"/>
  <sheetViews>
    <sheetView workbookViewId="0">
      <selection activeCell="H9" sqref="H9:M39"/>
    </sheetView>
  </sheetViews>
  <sheetFormatPr defaultRowHeight="15"/>
  <sheetData>
    <row r="1" spans="1:3">
      <c r="A1">
        <v>560</v>
      </c>
      <c r="C1">
        <v>5.6</v>
      </c>
    </row>
    <row r="2" spans="1:3">
      <c r="A2">
        <v>24.52</v>
      </c>
      <c r="B2">
        <f>+A2/A1</f>
        <v>4.3785714285714282E-2</v>
      </c>
      <c r="C2">
        <f>+C1*B2</f>
        <v>0.24519999999999997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39A06F671454B92258395EE9DA518" ma:contentTypeVersion="7" ma:contentTypeDescription="Create a new document." ma:contentTypeScope="" ma:versionID="7fd0aed0d1d7690c38ea0a292ec419b9">
  <xsd:schema xmlns:xsd="http://www.w3.org/2001/XMLSchema" xmlns:xs="http://www.w3.org/2001/XMLSchema" xmlns:p="http://schemas.microsoft.com/office/2006/metadata/properties" xmlns:ns2="7c5bb764-150d-4dbe-a071-291598497847" targetNamespace="http://schemas.microsoft.com/office/2006/metadata/properties" ma:root="true" ma:fieldsID="2e62588f81d129a147c943548b6e2a1b" ns2:_="">
    <xsd:import namespace="7c5bb764-150d-4dbe-a071-291598497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bb764-150d-4dbe-a071-2915984978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AEB3A7-2FDA-40F1-B05F-F6F3E369C96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EC5085-35C1-4F92-A8E8-D9C430FAA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5bb764-150d-4dbe-a071-291598497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9F6B5C-0146-4AD0-B898-0DFECF1BF5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 request</vt:lpstr>
      <vt:lpstr>PO request</vt:lpstr>
      <vt:lpstr>Sheet1</vt:lpstr>
    </vt:vector>
  </TitlesOfParts>
  <Manager/>
  <Company>Amazon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Aguilera Guzman, Susan</dc:creator>
  <cp:keywords/>
  <dc:description/>
  <cp:lastModifiedBy>Tanikella, Jayakrishnamraju [C]</cp:lastModifiedBy>
  <cp:revision/>
  <dcterms:created xsi:type="dcterms:W3CDTF">2025-09-09T16:52:24Z</dcterms:created>
  <dcterms:modified xsi:type="dcterms:W3CDTF">2025-12-23T12:03:20Z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2025-09-09T16:54:46Z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6e16a58f-fd8f-4b80-9a9b-3daeb5cd0a56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  <property fmtid="{D5CDD505-2E9C-101B-9397-08002B2CF9AE}" pid="10" name="ContentTypeId">
    <vt:lpwstr>0x010100DB639A06F671454B92258395EE9DA518</vt:lpwstr>
  </property>
</Properties>
</file>